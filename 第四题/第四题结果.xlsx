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inch\Desktop\第四题\"/>
    </mc:Choice>
  </mc:AlternateContent>
  <xr:revisionPtr revIDLastSave="0" documentId="13_ncr:1_{DA675172-DBC1-4A1B-961A-3C04B3737121}" xr6:coauthVersionLast="47" xr6:coauthVersionMax="47" xr10:uidLastSave="{00000000-0000-0000-0000-000000000000}"/>
  <bookViews>
    <workbookView xWindow="-110" yWindow="-110" windowWidth="19420" windowHeight="10560" activeTab="5" xr2:uid="{FC09D143-9314-4F18-8566-CBD35A9C3F9E}"/>
  </bookViews>
  <sheets>
    <sheet name="高钾无风化" sheetId="3" r:id="rId1"/>
    <sheet name="Sheet1" sheetId="7" r:id="rId2"/>
    <sheet name="Sheet2" sheetId="8" r:id="rId3"/>
    <sheet name="高钾风化" sheetId="4" r:id="rId4"/>
    <sheet name="铅钡无风化" sheetId="5" r:id="rId5"/>
    <sheet name="铅钡风化" sheetId="6" r:id="rId6"/>
    <sheet name="Sheet3" sheetId="9" r:id="rId7"/>
    <sheet name="Sheet4" sheetId="10" r:id="rId8"/>
    <sheet name="Sheet5" sheetId="11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7" i="11" l="1"/>
  <c r="C17" i="11"/>
  <c r="D17" i="11"/>
  <c r="E17" i="11"/>
  <c r="B18" i="11"/>
  <c r="C18" i="11"/>
  <c r="D18" i="11"/>
  <c r="E18" i="11"/>
  <c r="B19" i="11"/>
  <c r="C19" i="11"/>
  <c r="D19" i="11"/>
  <c r="E19" i="11"/>
  <c r="B20" i="11"/>
  <c r="C20" i="11"/>
  <c r="D20" i="11"/>
  <c r="E20" i="11"/>
  <c r="B21" i="11"/>
  <c r="C21" i="11"/>
  <c r="D21" i="11"/>
  <c r="E21" i="11"/>
  <c r="B22" i="11"/>
  <c r="C22" i="11"/>
  <c r="D22" i="11"/>
  <c r="E22" i="11"/>
  <c r="B23" i="11"/>
  <c r="C23" i="11"/>
  <c r="D23" i="11"/>
  <c r="E23" i="11"/>
  <c r="B24" i="11"/>
  <c r="C24" i="11"/>
  <c r="D24" i="11"/>
  <c r="E24" i="11"/>
  <c r="B25" i="11"/>
  <c r="C25" i="11"/>
  <c r="D25" i="11"/>
  <c r="E25" i="11"/>
  <c r="C16" i="11"/>
  <c r="D16" i="11"/>
  <c r="E16" i="11"/>
  <c r="B16" i="11"/>
  <c r="F12" i="10"/>
  <c r="F11" i="10"/>
  <c r="F10" i="10"/>
  <c r="F9" i="10"/>
  <c r="F8" i="10"/>
  <c r="F7" i="10"/>
  <c r="F6" i="10"/>
  <c r="F5" i="10"/>
  <c r="F4" i="10"/>
  <c r="F3" i="10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A31" i="8"/>
  <c r="A32" i="7"/>
  <c r="B32" i="7"/>
  <c r="C32" i="7"/>
  <c r="D32" i="7"/>
  <c r="E32" i="7"/>
  <c r="F32" i="7"/>
  <c r="G32" i="7"/>
  <c r="H32" i="7"/>
  <c r="I32" i="7"/>
  <c r="J32" i="7"/>
  <c r="K32" i="7"/>
  <c r="L32" i="7"/>
  <c r="M32" i="7"/>
  <c r="N32" i="7"/>
  <c r="A33" i="7"/>
  <c r="B33" i="7"/>
  <c r="C33" i="7"/>
  <c r="D33" i="7"/>
  <c r="E33" i="7"/>
  <c r="F33" i="7"/>
  <c r="G33" i="7"/>
  <c r="H33" i="7"/>
  <c r="I33" i="7"/>
  <c r="J33" i="7"/>
  <c r="K33" i="7"/>
  <c r="L33" i="7"/>
  <c r="M33" i="7"/>
  <c r="N33" i="7"/>
  <c r="A34" i="7"/>
  <c r="B34" i="7"/>
  <c r="C34" i="7"/>
  <c r="D34" i="7"/>
  <c r="E34" i="7"/>
  <c r="F34" i="7"/>
  <c r="G34" i="7"/>
  <c r="H34" i="7"/>
  <c r="I34" i="7"/>
  <c r="J34" i="7"/>
  <c r="K34" i="7"/>
  <c r="L34" i="7"/>
  <c r="M34" i="7"/>
  <c r="N34" i="7"/>
  <c r="A35" i="7"/>
  <c r="B35" i="7"/>
  <c r="C35" i="7"/>
  <c r="D35" i="7"/>
  <c r="E35" i="7"/>
  <c r="F35" i="7"/>
  <c r="G35" i="7"/>
  <c r="H35" i="7"/>
  <c r="I35" i="7"/>
  <c r="J35" i="7"/>
  <c r="K35" i="7"/>
  <c r="L35" i="7"/>
  <c r="M35" i="7"/>
  <c r="N35" i="7"/>
  <c r="A36" i="7"/>
  <c r="B36" i="7"/>
  <c r="C36" i="7"/>
  <c r="D36" i="7"/>
  <c r="E36" i="7"/>
  <c r="F36" i="7"/>
  <c r="G36" i="7"/>
  <c r="H36" i="7"/>
  <c r="I36" i="7"/>
  <c r="J36" i="7"/>
  <c r="K36" i="7"/>
  <c r="L36" i="7"/>
  <c r="M36" i="7"/>
  <c r="N36" i="7"/>
  <c r="A37" i="7"/>
  <c r="B37" i="7"/>
  <c r="C37" i="7"/>
  <c r="D37" i="7"/>
  <c r="E37" i="7"/>
  <c r="F37" i="7"/>
  <c r="G37" i="7"/>
  <c r="H37" i="7"/>
  <c r="I37" i="7"/>
  <c r="J37" i="7"/>
  <c r="K37" i="7"/>
  <c r="L37" i="7"/>
  <c r="M37" i="7"/>
  <c r="N37" i="7"/>
  <c r="A38" i="7"/>
  <c r="B38" i="7"/>
  <c r="C38" i="7"/>
  <c r="D38" i="7"/>
  <c r="E38" i="7"/>
  <c r="F38" i="7"/>
  <c r="G38" i="7"/>
  <c r="H38" i="7"/>
  <c r="I38" i="7"/>
  <c r="J38" i="7"/>
  <c r="K38" i="7"/>
  <c r="L38" i="7"/>
  <c r="M38" i="7"/>
  <c r="N38" i="7"/>
  <c r="A39" i="7"/>
  <c r="B39" i="7"/>
  <c r="C39" i="7"/>
  <c r="D39" i="7"/>
  <c r="E39" i="7"/>
  <c r="F39" i="7"/>
  <c r="G39" i="7"/>
  <c r="H39" i="7"/>
  <c r="I39" i="7"/>
  <c r="J39" i="7"/>
  <c r="K39" i="7"/>
  <c r="L39" i="7"/>
  <c r="M39" i="7"/>
  <c r="N39" i="7"/>
  <c r="A40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A41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A42" i="7"/>
  <c r="B42" i="7"/>
  <c r="C42" i="7"/>
  <c r="D42" i="7"/>
  <c r="E42" i="7"/>
  <c r="F42" i="7"/>
  <c r="G42" i="7"/>
  <c r="H42" i="7"/>
  <c r="I42" i="7"/>
  <c r="J42" i="7"/>
  <c r="K42" i="7"/>
  <c r="L42" i="7"/>
  <c r="M42" i="7"/>
  <c r="N42" i="7"/>
  <c r="A43" i="7"/>
  <c r="B43" i="7"/>
  <c r="C43" i="7"/>
  <c r="D43" i="7"/>
  <c r="E43" i="7"/>
  <c r="F43" i="7"/>
  <c r="G43" i="7"/>
  <c r="H43" i="7"/>
  <c r="I43" i="7"/>
  <c r="J43" i="7"/>
  <c r="K43" i="7"/>
  <c r="L43" i="7"/>
  <c r="M43" i="7"/>
  <c r="N43" i="7"/>
  <c r="A44" i="7"/>
  <c r="B44" i="7"/>
  <c r="C44" i="7"/>
  <c r="D44" i="7"/>
  <c r="E44" i="7"/>
  <c r="F44" i="7"/>
  <c r="G44" i="7"/>
  <c r="H44" i="7"/>
  <c r="I44" i="7"/>
  <c r="J44" i="7"/>
  <c r="K44" i="7"/>
  <c r="L44" i="7"/>
  <c r="M44" i="7"/>
  <c r="N44" i="7"/>
  <c r="B31" i="7"/>
  <c r="C31" i="7"/>
  <c r="D31" i="7"/>
  <c r="E31" i="7"/>
  <c r="F31" i="7"/>
  <c r="G31" i="7"/>
  <c r="H31" i="7"/>
  <c r="I31" i="7"/>
  <c r="J31" i="7"/>
  <c r="K31" i="7"/>
  <c r="L31" i="7"/>
  <c r="M31" i="7"/>
  <c r="N31" i="7"/>
  <c r="A31" i="7"/>
</calcChain>
</file>

<file path=xl/sharedStrings.xml><?xml version="1.0" encoding="utf-8"?>
<sst xmlns="http://schemas.openxmlformats.org/spreadsheetml/2006/main" count="240" uniqueCount="59">
  <si>
    <t>相关系数</t>
    <phoneticPr fontId="2" type="noConversion"/>
  </si>
  <si>
    <t>***</t>
    <phoneticPr fontId="2" type="noConversion"/>
  </si>
  <si>
    <t>**</t>
    <phoneticPr fontId="2" type="noConversion"/>
  </si>
  <si>
    <t>*</t>
    <phoneticPr fontId="2" type="noConversion"/>
  </si>
  <si>
    <t>二氧化硅</t>
  </si>
  <si>
    <t>氧化钠</t>
  </si>
  <si>
    <t>氧化钾</t>
  </si>
  <si>
    <t>氧化钙</t>
  </si>
  <si>
    <t>氧化镁</t>
  </si>
  <si>
    <t>氧化铝</t>
  </si>
  <si>
    <t>氧化铁</t>
  </si>
  <si>
    <t>氧化铜</t>
  </si>
  <si>
    <t>氧化铅</t>
  </si>
  <si>
    <t>氧化钡</t>
  </si>
  <si>
    <t>五氧化二磷</t>
  </si>
  <si>
    <t>氧化锶</t>
  </si>
  <si>
    <t>氧化锡</t>
  </si>
  <si>
    <t>二氧化硫</t>
  </si>
  <si>
    <t>***的位置</t>
    <phoneticPr fontId="2" type="noConversion"/>
  </si>
  <si>
    <t>**的位置</t>
    <phoneticPr fontId="2" type="noConversion"/>
  </si>
  <si>
    <t>*的位置</t>
    <phoneticPr fontId="2" type="noConversion"/>
  </si>
  <si>
    <t>0</t>
  </si>
  <si>
    <t>1</t>
  </si>
  <si>
    <t>三星的位置</t>
    <phoneticPr fontId="2" type="noConversion"/>
  </si>
  <si>
    <t>两星的位置</t>
    <phoneticPr fontId="2" type="noConversion"/>
  </si>
  <si>
    <t>一星的位置</t>
    <phoneticPr fontId="2" type="noConversion"/>
  </si>
  <si>
    <t>二氧化硅</t>
    <phoneticPr fontId="2" type="noConversion"/>
  </si>
  <si>
    <t>氧化钾</t>
    <phoneticPr fontId="2" type="noConversion"/>
  </si>
  <si>
    <t>氧化钙</t>
    <phoneticPr fontId="2" type="noConversion"/>
  </si>
  <si>
    <t>氧化镁</t>
    <phoneticPr fontId="2" type="noConversion"/>
  </si>
  <si>
    <t>氧化铝</t>
    <phoneticPr fontId="2" type="noConversion"/>
  </si>
  <si>
    <t>氧化铁</t>
    <phoneticPr fontId="2" type="noConversion"/>
  </si>
  <si>
    <t>氧化铜</t>
    <phoneticPr fontId="2" type="noConversion"/>
  </si>
  <si>
    <t>五氧化二磷</t>
    <phoneticPr fontId="2" type="noConversion"/>
  </si>
  <si>
    <t>三星</t>
    <phoneticPr fontId="2" type="noConversion"/>
  </si>
  <si>
    <t>2星</t>
    <phoneticPr fontId="2" type="noConversion"/>
  </si>
  <si>
    <t>1星</t>
    <phoneticPr fontId="2" type="noConversion"/>
  </si>
  <si>
    <t>高钾无风化</t>
  </si>
  <si>
    <t>高钾无风化</t>
    <phoneticPr fontId="2" type="noConversion"/>
  </si>
  <si>
    <t>高钾风化</t>
  </si>
  <si>
    <t>高钾风化</t>
    <phoneticPr fontId="2" type="noConversion"/>
  </si>
  <si>
    <t>铅钡无风化</t>
  </si>
  <si>
    <t>铅钡无风化</t>
    <phoneticPr fontId="2" type="noConversion"/>
  </si>
  <si>
    <t>铅钡风化</t>
  </si>
  <si>
    <t>铅钡风化</t>
    <phoneticPr fontId="2" type="noConversion"/>
  </si>
  <si>
    <t/>
  </si>
  <si>
    <t>描述统计</t>
  </si>
  <si>
    <t>最小值</t>
  </si>
  <si>
    <t>最大值</t>
  </si>
  <si>
    <t>均值</t>
  </si>
  <si>
    <t>标准 偏差</t>
  </si>
  <si>
    <t>标准差</t>
    <phoneticPr fontId="2" type="noConversion"/>
  </si>
  <si>
    <t>相关系数</t>
  </si>
  <si>
    <t>克鲁斯卡尔-沃利斯 H(K)</t>
  </si>
  <si>
    <t>自由度</t>
  </si>
  <si>
    <t>渐近显著性</t>
  </si>
  <si>
    <t>a. 克鲁斯卡尔-沃利斯检验</t>
  </si>
  <si>
    <t>b. 分组变量：类别</t>
  </si>
  <si>
    <r>
      <t>检验统计</t>
    </r>
    <r>
      <rPr>
        <b/>
        <vertAlign val="superscript"/>
        <sz val="11"/>
        <color indexed="60"/>
        <rFont val="PMingLiU"/>
        <family val="1"/>
        <charset val="136"/>
      </rPr>
      <t>a,b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</si>
</sst>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00"/>
    <numFmt numFmtId="177" formatCode="###0.000"/>
    <numFmt numFmtId="178" formatCode="0.000"/>
    <numFmt numFmtId="179" formatCode="0.0000_ "/>
  </numFmts>
  <fonts count="13" x14ac:knownFonts="1">
    <font>
      <sz val="11"/>
      <color theme="1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0"/>
      <color rgb="FFC00000"/>
      <name val="Times New Roman"/>
      <family val="3"/>
      <charset val="134"/>
    </font>
    <font>
      <b/>
      <sz val="10"/>
      <color rgb="FFC00000"/>
      <name val="宋体"/>
      <family val="3"/>
      <charset val="134"/>
    </font>
    <font>
      <sz val="10"/>
      <name val="Arial"/>
      <family val="2"/>
    </font>
    <font>
      <b/>
      <sz val="11"/>
      <color indexed="60"/>
      <name val="PMingLiU"/>
      <family val="1"/>
      <charset val="136"/>
    </font>
    <font>
      <sz val="9"/>
      <color indexed="62"/>
      <name val="MingLiU"/>
      <family val="3"/>
      <charset val="136"/>
    </font>
    <font>
      <sz val="9"/>
      <color indexed="60"/>
      <name val="MingLiU"/>
      <family val="3"/>
      <charset val="136"/>
    </font>
    <font>
      <sz val="10"/>
      <color rgb="FFFF0000"/>
      <name val="宋体"/>
      <family val="2"/>
      <charset val="134"/>
    </font>
    <font>
      <sz val="11"/>
      <name val="等线"/>
      <family val="2"/>
      <charset val="134"/>
      <scheme val="minor"/>
    </font>
    <font>
      <sz val="12"/>
      <color theme="1"/>
      <name val="Times New Roman"/>
      <family val="1"/>
    </font>
    <font>
      <b/>
      <vertAlign val="superscript"/>
      <sz val="11"/>
      <color indexed="60"/>
      <name val="PMingLiU"/>
      <family val="1"/>
      <charset val="136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1"/>
      </bottom>
      <diagonal/>
    </border>
    <border>
      <left/>
      <right/>
      <top style="thin">
        <color indexed="61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 style="thin">
        <color indexed="63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61"/>
      </bottom>
      <diagonal/>
    </border>
    <border>
      <left/>
      <right style="thin">
        <color indexed="63"/>
      </right>
      <top style="thin">
        <color indexed="22"/>
      </top>
      <bottom style="thin">
        <color indexed="6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>
      <alignment vertical="center"/>
    </xf>
    <xf numFmtId="0" fontId="5" fillId="0" borderId="0"/>
    <xf numFmtId="0" fontId="5" fillId="0" borderId="0"/>
  </cellStyleXfs>
  <cellXfs count="29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 wrapText="1"/>
    </xf>
    <xf numFmtId="176" fontId="0" fillId="0" borderId="0" xfId="0" applyNumberFormat="1">
      <alignment vertical="center"/>
    </xf>
    <xf numFmtId="49" fontId="0" fillId="0" borderId="0" xfId="0" applyNumberFormat="1">
      <alignment vertical="center"/>
    </xf>
    <xf numFmtId="0" fontId="5" fillId="0" borderId="0" xfId="1"/>
    <xf numFmtId="0" fontId="7" fillId="0" borderId="0" xfId="1" applyFont="1" applyBorder="1" applyAlignment="1">
      <alignment horizontal="left" wrapText="1"/>
    </xf>
    <xf numFmtId="0" fontId="7" fillId="0" borderId="2" xfId="1" applyFont="1" applyBorder="1" applyAlignment="1">
      <alignment horizontal="left" wrapText="1"/>
    </xf>
    <xf numFmtId="177" fontId="8" fillId="0" borderId="5" xfId="1" applyNumberFormat="1" applyFont="1" applyBorder="1" applyAlignment="1">
      <alignment horizontal="right" vertical="top"/>
    </xf>
    <xf numFmtId="177" fontId="8" fillId="0" borderId="7" xfId="1" applyNumberFormat="1" applyFont="1" applyBorder="1" applyAlignment="1">
      <alignment horizontal="right" vertical="top"/>
    </xf>
    <xf numFmtId="0" fontId="8" fillId="0" borderId="0" xfId="1" applyFont="1" applyBorder="1" applyAlignment="1">
      <alignment horizontal="left" vertical="top" wrapText="1"/>
    </xf>
    <xf numFmtId="0" fontId="9" fillId="0" borderId="0" xfId="1" applyFont="1"/>
    <xf numFmtId="0" fontId="7" fillId="2" borderId="3" xfId="1" applyFont="1" applyFill="1" applyBorder="1" applyAlignment="1">
      <alignment horizontal="left" vertical="top" wrapText="1"/>
    </xf>
    <xf numFmtId="0" fontId="7" fillId="2" borderId="4" xfId="1" applyFont="1" applyFill="1" applyBorder="1" applyAlignment="1">
      <alignment horizontal="left" vertical="top" wrapText="1"/>
    </xf>
    <xf numFmtId="0" fontId="7" fillId="2" borderId="6" xfId="1" applyFont="1" applyFill="1" applyBorder="1" applyAlignment="1">
      <alignment horizontal="left" vertical="top" wrapText="1"/>
    </xf>
    <xf numFmtId="178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1" fillId="0" borderId="0" xfId="0" applyFont="1">
      <alignment vertical="center"/>
    </xf>
    <xf numFmtId="176" fontId="10" fillId="0" borderId="0" xfId="0" applyNumberFormat="1" applyFont="1">
      <alignment vertical="center"/>
    </xf>
    <xf numFmtId="0" fontId="4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6" fillId="0" borderId="0" xfId="1" applyFont="1" applyBorder="1" applyAlignment="1">
      <alignment horizontal="center" vertical="center" wrapText="1"/>
    </xf>
    <xf numFmtId="0" fontId="0" fillId="0" borderId="0" xfId="0" applyNumberFormat="1">
      <alignment vertical="center"/>
    </xf>
    <xf numFmtId="0" fontId="0" fillId="3" borderId="0" xfId="0" applyFill="1">
      <alignment vertical="center"/>
    </xf>
    <xf numFmtId="0" fontId="0" fillId="2" borderId="0" xfId="0" applyFill="1">
      <alignment vertical="center"/>
    </xf>
    <xf numFmtId="179" fontId="0" fillId="0" borderId="0" xfId="0" applyNumberFormat="1">
      <alignment vertical="center"/>
    </xf>
    <xf numFmtId="0" fontId="11" fillId="0" borderId="8" xfId="0" applyFont="1" applyBorder="1" applyAlignment="1">
      <alignment horizontal="justify" vertical="center" wrapText="1"/>
    </xf>
    <xf numFmtId="0" fontId="11" fillId="0" borderId="9" xfId="0" applyFont="1" applyBorder="1" applyAlignment="1">
      <alignment horizontal="justify" vertical="center" wrapText="1"/>
    </xf>
    <xf numFmtId="0" fontId="5" fillId="0" borderId="0" xfId="2"/>
  </cellXfs>
  <cellStyles count="3">
    <cellStyle name="常规" xfId="0" builtinId="0"/>
    <cellStyle name="常规_Sheet5" xfId="2" xr:uid="{4D28D66C-EC74-4E5B-A0F1-51454AC4BA95}"/>
    <cellStyle name="常规_高" xfId="1" xr:uid="{6719E9E9-45DB-4C83-8375-E02BEF5034C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Sheet5!$B$4</c:f>
              <c:strCache>
                <c:ptCount val="1"/>
                <c:pt idx="0">
                  <c:v>高钾无风化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Sheet5!$A$5:$A$14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Sheet5!$B$5:$B$14</c:f>
              <c:numCache>
                <c:formatCode>General</c:formatCode>
                <c:ptCount val="10"/>
                <c:pt idx="0">
                  <c:v>0.80400000000000005</c:v>
                </c:pt>
                <c:pt idx="1">
                  <c:v>0.75900000000000001</c:v>
                </c:pt>
                <c:pt idx="2">
                  <c:v>0.624</c:v>
                </c:pt>
                <c:pt idx="3">
                  <c:v>0.61699999999999999</c:v>
                </c:pt>
                <c:pt idx="4">
                  <c:v>0.59699999999999998</c:v>
                </c:pt>
                <c:pt idx="5">
                  <c:v>-0.59199999999999997</c:v>
                </c:pt>
                <c:pt idx="6">
                  <c:v>-0.59</c:v>
                </c:pt>
                <c:pt idx="7">
                  <c:v>-0.58399999999999996</c:v>
                </c:pt>
                <c:pt idx="8">
                  <c:v>-0.57599999999999996</c:v>
                </c:pt>
                <c:pt idx="9">
                  <c:v>0.57399999999999995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037-49C5-A307-DE8C3CF86D02}"/>
            </c:ext>
          </c:extLst>
        </c:ser>
        <c:ser>
          <c:idx val="1"/>
          <c:order val="1"/>
          <c:tx>
            <c:strRef>
              <c:f>Sheet5!$C$4</c:f>
              <c:strCache>
                <c:ptCount val="1"/>
                <c:pt idx="0">
                  <c:v>高钾风化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Sheet5!$A$5:$A$14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Sheet5!$C$5:$C$14</c:f>
              <c:numCache>
                <c:formatCode>General</c:formatCode>
                <c:ptCount val="10"/>
                <c:pt idx="0">
                  <c:v>-1</c:v>
                </c:pt>
                <c:pt idx="1">
                  <c:v>-0.94289999999999996</c:v>
                </c:pt>
                <c:pt idx="2">
                  <c:v>0.94289999999999996</c:v>
                </c:pt>
                <c:pt idx="3">
                  <c:v>-0.92759999999999998</c:v>
                </c:pt>
                <c:pt idx="4">
                  <c:v>0.84519999999999995</c:v>
                </c:pt>
                <c:pt idx="5">
                  <c:v>-0.67610000000000003</c:v>
                </c:pt>
                <c:pt idx="6">
                  <c:v>0.67610000000000003</c:v>
                </c:pt>
                <c:pt idx="7">
                  <c:v>-0.67610000000000003</c:v>
                </c:pt>
                <c:pt idx="8">
                  <c:v>-0.54290000000000005</c:v>
                </c:pt>
                <c:pt idx="9">
                  <c:v>-0.54290000000000005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037-49C5-A307-DE8C3CF86D02}"/>
            </c:ext>
          </c:extLst>
        </c:ser>
        <c:ser>
          <c:idx val="2"/>
          <c:order val="2"/>
          <c:tx>
            <c:strRef>
              <c:f>Sheet5!$D$4</c:f>
              <c:strCache>
                <c:ptCount val="1"/>
                <c:pt idx="0">
                  <c:v>铅钡无风化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Sheet5!$A$5:$A$14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Sheet5!$D$5:$D$14</c:f>
              <c:numCache>
                <c:formatCode>General</c:formatCode>
                <c:ptCount val="10"/>
                <c:pt idx="0">
                  <c:v>-0.67500000000000004</c:v>
                </c:pt>
                <c:pt idx="1">
                  <c:v>-0.65100000000000002</c:v>
                </c:pt>
                <c:pt idx="2">
                  <c:v>0.61799999999999999</c:v>
                </c:pt>
                <c:pt idx="3">
                  <c:v>-0.60199999999999998</c:v>
                </c:pt>
                <c:pt idx="4">
                  <c:v>0.55200000000000005</c:v>
                </c:pt>
                <c:pt idx="5">
                  <c:v>-0.54900000000000004</c:v>
                </c:pt>
                <c:pt idx="6">
                  <c:v>0.54300000000000004</c:v>
                </c:pt>
                <c:pt idx="7">
                  <c:v>-0.51400000000000001</c:v>
                </c:pt>
                <c:pt idx="8">
                  <c:v>0.496</c:v>
                </c:pt>
                <c:pt idx="9">
                  <c:v>-0.47299999999999998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037-49C5-A307-DE8C3CF86D02}"/>
            </c:ext>
          </c:extLst>
        </c:ser>
        <c:ser>
          <c:idx val="3"/>
          <c:order val="3"/>
          <c:tx>
            <c:strRef>
              <c:f>Sheet5!$E$4</c:f>
              <c:strCache>
                <c:ptCount val="1"/>
                <c:pt idx="0">
                  <c:v>铅钡风化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Sheet5!$A$5:$A$14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Sheet5!$E$5:$E$14</c:f>
              <c:numCache>
                <c:formatCode>General</c:formatCode>
                <c:ptCount val="10"/>
                <c:pt idx="0">
                  <c:v>0.81399999999999995</c:v>
                </c:pt>
                <c:pt idx="1">
                  <c:v>-0.66700000000000004</c:v>
                </c:pt>
                <c:pt idx="2">
                  <c:v>0.63600000000000001</c:v>
                </c:pt>
                <c:pt idx="3">
                  <c:v>-0.63100000000000001</c:v>
                </c:pt>
                <c:pt idx="4">
                  <c:v>0.626</c:v>
                </c:pt>
                <c:pt idx="5">
                  <c:v>0.624</c:v>
                </c:pt>
                <c:pt idx="6">
                  <c:v>0.60299999999999998</c:v>
                </c:pt>
                <c:pt idx="7">
                  <c:v>-0.58499999999999996</c:v>
                </c:pt>
                <c:pt idx="8">
                  <c:v>0.54300000000000004</c:v>
                </c:pt>
                <c:pt idx="9">
                  <c:v>-0.53700000000000003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037-49C5-A307-DE8C3CF86D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2794208"/>
        <c:axId val="542775072"/>
      </c:scatterChart>
      <c:valAx>
        <c:axId val="542794208"/>
        <c:scaling>
          <c:orientation val="minMax"/>
          <c:max val="10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42775072"/>
        <c:crosses val="autoZero"/>
        <c:crossBetween val="midCat"/>
      </c:valAx>
      <c:valAx>
        <c:axId val="542775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427942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273050</xdr:colOff>
      <xdr:row>3</xdr:row>
      <xdr:rowOff>98424</xdr:rowOff>
    </xdr:from>
    <xdr:to>
      <xdr:col>12</xdr:col>
      <xdr:colOff>635000</xdr:colOff>
      <xdr:row>18</xdr:row>
      <xdr:rowOff>69850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A65C72D-0337-4A75-AFF0-8A3302CC53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A9FA3-89C5-4E55-BBD7-CBA5CBE3FEE3}">
  <dimension ref="B1:R79"/>
  <sheetViews>
    <sheetView topLeftCell="C1" workbookViewId="0">
      <selection activeCell="C2" sqref="C2"/>
    </sheetView>
  </sheetViews>
  <sheetFormatPr defaultRowHeight="14" x14ac:dyDescent="0.3"/>
  <cols>
    <col min="2" max="2" width="20.08203125" customWidth="1"/>
    <col min="3" max="3" width="10.4140625" bestFit="1" customWidth="1"/>
    <col min="4" max="11" width="9.5" bestFit="1" customWidth="1"/>
    <col min="12" max="12" width="10.4140625" bestFit="1" customWidth="1"/>
    <col min="13" max="16" width="9.5" bestFit="1" customWidth="1"/>
  </cols>
  <sheetData>
    <row r="1" spans="2:17" x14ac:dyDescent="0.3"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11</v>
      </c>
      <c r="K1" s="2" t="s">
        <v>12</v>
      </c>
      <c r="L1" s="2" t="s">
        <v>13</v>
      </c>
      <c r="M1" s="2" t="s">
        <v>14</v>
      </c>
      <c r="N1" s="2" t="s">
        <v>15</v>
      </c>
      <c r="O1" s="2" t="s">
        <v>16</v>
      </c>
      <c r="P1" t="s">
        <v>17</v>
      </c>
    </row>
    <row r="2" spans="2:17" x14ac:dyDescent="0.3">
      <c r="C2" s="2" t="s">
        <v>5</v>
      </c>
      <c r="D2" t="s">
        <v>0</v>
      </c>
      <c r="F2" t="s">
        <v>1</v>
      </c>
      <c r="G2" t="s">
        <v>2</v>
      </c>
      <c r="H2" t="s">
        <v>3</v>
      </c>
    </row>
    <row r="3" spans="2:17" x14ac:dyDescent="0.3">
      <c r="C3" s="2" t="s">
        <v>6</v>
      </c>
    </row>
    <row r="4" spans="2:17" x14ac:dyDescent="0.3">
      <c r="B4" s="1"/>
      <c r="C4" s="2" t="s">
        <v>7</v>
      </c>
      <c r="D4" s="2" t="s">
        <v>4</v>
      </c>
    </row>
    <row r="5" spans="2:17" x14ac:dyDescent="0.3">
      <c r="B5" s="1"/>
      <c r="C5" s="2" t="s">
        <v>8</v>
      </c>
      <c r="D5" s="14">
        <v>1</v>
      </c>
      <c r="E5" s="14">
        <v>-0.443</v>
      </c>
      <c r="F5" s="14">
        <v>-0.40699999999999997</v>
      </c>
      <c r="G5" s="14">
        <v>-0.34</v>
      </c>
      <c r="H5" s="14">
        <v>1.2999999999999999E-2</v>
      </c>
      <c r="I5" s="14">
        <v>-0.14699999999999999</v>
      </c>
      <c r="J5" s="14">
        <v>-0.58399999999999996</v>
      </c>
      <c r="K5" s="14">
        <v>-0.33400000000000002</v>
      </c>
      <c r="L5" s="14">
        <v>5.0000000000000001E-3</v>
      </c>
      <c r="M5" s="14">
        <v>-8.0000000000000002E-3</v>
      </c>
      <c r="N5" s="14">
        <v>2.4E-2</v>
      </c>
      <c r="O5" s="14">
        <v>-0.151</v>
      </c>
      <c r="P5" s="14">
        <v>0.378</v>
      </c>
      <c r="Q5" s="14">
        <v>3.4000000000000002E-2</v>
      </c>
    </row>
    <row r="6" spans="2:17" x14ac:dyDescent="0.3">
      <c r="B6" s="1"/>
      <c r="C6" s="2" t="s">
        <v>9</v>
      </c>
      <c r="D6" s="14">
        <v>-0.443</v>
      </c>
      <c r="E6" s="14">
        <v>1</v>
      </c>
      <c r="F6" s="14">
        <v>0.28399999999999997</v>
      </c>
      <c r="G6" s="14">
        <v>0.22500000000000001</v>
      </c>
      <c r="H6" s="14">
        <v>-0.59</v>
      </c>
      <c r="I6" s="14">
        <v>-0.182</v>
      </c>
      <c r="J6" s="14">
        <v>-0.223</v>
      </c>
      <c r="K6" s="14">
        <v>-0.28499999999999998</v>
      </c>
      <c r="L6" s="14">
        <v>0.10199999999999999</v>
      </c>
      <c r="M6" s="14">
        <v>-0.44900000000000001</v>
      </c>
      <c r="N6" s="14">
        <v>-0.57599999999999996</v>
      </c>
      <c r="O6" s="14">
        <v>-0.46800000000000003</v>
      </c>
      <c r="P6" s="14">
        <v>-0.2</v>
      </c>
      <c r="Q6" s="14">
        <v>-0.374</v>
      </c>
    </row>
    <row r="7" spans="2:17" x14ac:dyDescent="0.3">
      <c r="B7" s="1"/>
      <c r="C7" s="2" t="s">
        <v>10</v>
      </c>
      <c r="D7" s="14">
        <v>-0.40699999999999997</v>
      </c>
      <c r="E7" s="14">
        <v>0.28399999999999997</v>
      </c>
      <c r="F7" s="14">
        <v>1</v>
      </c>
      <c r="G7" s="14">
        <v>0.80400000000000005</v>
      </c>
      <c r="H7" s="14">
        <v>-0.23799999999999999</v>
      </c>
      <c r="I7" s="14">
        <v>0.13400000000000001</v>
      </c>
      <c r="J7" s="14">
        <v>7.9000000000000001E-2</v>
      </c>
      <c r="K7" s="14">
        <v>0.2</v>
      </c>
      <c r="L7" s="14">
        <v>-0.26300000000000001</v>
      </c>
      <c r="M7" s="14">
        <v>-0.22800000000000001</v>
      </c>
      <c r="N7" s="14">
        <v>-0.187</v>
      </c>
      <c r="O7" s="14">
        <v>0.14399999999999999</v>
      </c>
      <c r="P7" s="14">
        <v>-3.4000000000000002E-2</v>
      </c>
      <c r="Q7" s="14">
        <v>0.20499999999999999</v>
      </c>
    </row>
    <row r="8" spans="2:17" x14ac:dyDescent="0.3">
      <c r="B8" s="1"/>
      <c r="C8" s="2" t="s">
        <v>11</v>
      </c>
      <c r="D8" s="14">
        <v>-0.34</v>
      </c>
      <c r="E8" s="14">
        <v>0.22500000000000001</v>
      </c>
      <c r="F8" s="14">
        <v>0.80400000000000005</v>
      </c>
      <c r="G8" s="14">
        <v>1</v>
      </c>
      <c r="H8" s="14">
        <v>-0.32500000000000001</v>
      </c>
      <c r="I8" s="14">
        <v>0.371</v>
      </c>
      <c r="J8" s="14">
        <v>0.23499999999999999</v>
      </c>
      <c r="K8" s="14">
        <v>0.27400000000000002</v>
      </c>
      <c r="L8" s="14">
        <v>-0.17699999999999999</v>
      </c>
      <c r="M8" s="14">
        <v>-0.23499999999999999</v>
      </c>
      <c r="N8" s="14">
        <v>-0.193</v>
      </c>
      <c r="O8" s="14">
        <v>-0.158</v>
      </c>
      <c r="P8" s="14">
        <v>-0.34799999999999998</v>
      </c>
      <c r="Q8" s="14">
        <v>0.33100000000000002</v>
      </c>
    </row>
    <row r="9" spans="2:17" x14ac:dyDescent="0.3">
      <c r="B9" s="1"/>
      <c r="C9" s="2" t="s">
        <v>12</v>
      </c>
      <c r="D9" s="14">
        <v>1.2999999999999999E-2</v>
      </c>
      <c r="E9" s="14">
        <v>-0.59</v>
      </c>
      <c r="F9" s="14">
        <v>-0.23799999999999999</v>
      </c>
      <c r="G9" s="14">
        <v>-0.32500000000000001</v>
      </c>
      <c r="H9" s="14">
        <v>1</v>
      </c>
      <c r="I9" s="14">
        <v>0.46899999999999997</v>
      </c>
      <c r="J9" s="14">
        <v>0.48599999999999999</v>
      </c>
      <c r="K9" s="14">
        <v>0.19800000000000001</v>
      </c>
      <c r="L9" s="14">
        <v>-6.3E-2</v>
      </c>
      <c r="M9" s="14">
        <v>0.45500000000000002</v>
      </c>
      <c r="N9" s="14">
        <v>0.57399999999999995</v>
      </c>
      <c r="O9" s="14">
        <v>0.624</v>
      </c>
      <c r="P9" s="14">
        <v>0.17199999999999999</v>
      </c>
      <c r="Q9" s="14">
        <v>0.33400000000000002</v>
      </c>
    </row>
    <row r="10" spans="2:17" x14ac:dyDescent="0.3">
      <c r="B10" s="1"/>
      <c r="C10" s="2" t="s">
        <v>13</v>
      </c>
      <c r="D10" s="14">
        <v>-0.14699999999999999</v>
      </c>
      <c r="E10" s="14">
        <v>-0.182</v>
      </c>
      <c r="F10" s="14">
        <v>0.13400000000000001</v>
      </c>
      <c r="G10" s="14">
        <v>0.371</v>
      </c>
      <c r="H10" s="14">
        <v>0.46899999999999997</v>
      </c>
      <c r="I10" s="14">
        <v>1</v>
      </c>
      <c r="J10" s="14">
        <v>0.56399999999999995</v>
      </c>
      <c r="K10" s="14">
        <v>0.17199999999999999</v>
      </c>
      <c r="L10" s="14">
        <v>0.29499999999999998</v>
      </c>
      <c r="M10" s="14">
        <v>0.39100000000000001</v>
      </c>
      <c r="N10" s="14">
        <v>0.28399999999999997</v>
      </c>
      <c r="O10" s="14">
        <v>0.39900000000000002</v>
      </c>
      <c r="P10" s="14">
        <v>-0.378</v>
      </c>
      <c r="Q10" s="14">
        <v>0.113</v>
      </c>
    </row>
    <row r="11" spans="2:17" x14ac:dyDescent="0.3">
      <c r="B11" s="1"/>
      <c r="C11" s="2" t="s">
        <v>14</v>
      </c>
      <c r="D11" s="14">
        <v>-0.58399999999999996</v>
      </c>
      <c r="E11" s="14">
        <v>-0.223</v>
      </c>
      <c r="F11" s="14">
        <v>7.9000000000000001E-2</v>
      </c>
      <c r="G11" s="14">
        <v>0.23499999999999999</v>
      </c>
      <c r="H11" s="14">
        <v>0.48599999999999999</v>
      </c>
      <c r="I11" s="14">
        <v>0.56399999999999995</v>
      </c>
      <c r="J11" s="14">
        <v>1</v>
      </c>
      <c r="K11" s="14">
        <v>0.75900000000000001</v>
      </c>
      <c r="L11" s="14">
        <v>-7.0000000000000001E-3</v>
      </c>
      <c r="M11" s="14">
        <v>0.497</v>
      </c>
      <c r="N11" s="14">
        <v>0.59699999999999998</v>
      </c>
      <c r="O11" s="14">
        <v>0.33300000000000002</v>
      </c>
      <c r="P11" s="14">
        <v>-0.41399999999999998</v>
      </c>
      <c r="Q11" s="14">
        <v>0.218</v>
      </c>
    </row>
    <row r="12" spans="2:17" x14ac:dyDescent="0.3">
      <c r="B12" s="1"/>
      <c r="C12" s="2" t="s">
        <v>15</v>
      </c>
      <c r="D12" s="14">
        <v>-0.33400000000000002</v>
      </c>
      <c r="E12" s="14">
        <v>-0.28499999999999998</v>
      </c>
      <c r="F12" s="14">
        <v>0.2</v>
      </c>
      <c r="G12" s="14">
        <v>0.27400000000000002</v>
      </c>
      <c r="H12" s="14">
        <v>0.19800000000000001</v>
      </c>
      <c r="I12" s="14">
        <v>0.17199999999999999</v>
      </c>
      <c r="J12" s="14">
        <v>0.75900000000000001</v>
      </c>
      <c r="K12" s="14">
        <v>1</v>
      </c>
      <c r="L12" s="14">
        <v>-6.8000000000000005E-2</v>
      </c>
      <c r="M12" s="14">
        <v>0.503</v>
      </c>
      <c r="N12" s="14">
        <v>0.38300000000000001</v>
      </c>
      <c r="O12" s="14">
        <v>8.4000000000000005E-2</v>
      </c>
      <c r="P12" s="14">
        <v>-0.44800000000000001</v>
      </c>
      <c r="Q12" s="14">
        <v>0.315</v>
      </c>
    </row>
    <row r="13" spans="2:17" x14ac:dyDescent="0.3">
      <c r="B13" s="1"/>
      <c r="C13" s="2" t="s">
        <v>16</v>
      </c>
      <c r="D13" s="14">
        <v>5.0000000000000001E-3</v>
      </c>
      <c r="E13" s="14">
        <v>0.10199999999999999</v>
      </c>
      <c r="F13" s="14">
        <v>-0.26300000000000001</v>
      </c>
      <c r="G13" s="14">
        <v>-0.17699999999999999</v>
      </c>
      <c r="H13" s="14">
        <v>-6.3E-2</v>
      </c>
      <c r="I13" s="14">
        <v>0.29499999999999998</v>
      </c>
      <c r="J13" s="14">
        <v>-7.0000000000000001E-3</v>
      </c>
      <c r="K13" s="14">
        <v>-6.8000000000000005E-2</v>
      </c>
      <c r="L13" s="14">
        <v>1</v>
      </c>
      <c r="M13" s="14">
        <v>0.61699999999999999</v>
      </c>
      <c r="N13" s="14">
        <v>-0.22500000000000001</v>
      </c>
      <c r="O13" s="14">
        <v>0.13200000000000001</v>
      </c>
      <c r="P13" s="14">
        <v>-0.317</v>
      </c>
      <c r="Q13" s="14">
        <v>-0.59199999999999997</v>
      </c>
    </row>
    <row r="14" spans="2:17" x14ac:dyDescent="0.3">
      <c r="B14" s="1"/>
      <c r="C14" t="s">
        <v>17</v>
      </c>
      <c r="D14" s="14">
        <v>-8.0000000000000002E-3</v>
      </c>
      <c r="E14" s="14">
        <v>-0.44900000000000001</v>
      </c>
      <c r="F14" s="14">
        <v>-0.22800000000000001</v>
      </c>
      <c r="G14" s="14">
        <v>-0.23499999999999999</v>
      </c>
      <c r="H14" s="14">
        <v>0.45500000000000002</v>
      </c>
      <c r="I14" s="14">
        <v>0.39100000000000001</v>
      </c>
      <c r="J14" s="14">
        <v>0.497</v>
      </c>
      <c r="K14" s="14">
        <v>0.503</v>
      </c>
      <c r="L14" s="14">
        <v>0.61699999999999999</v>
      </c>
      <c r="M14" s="14">
        <v>1</v>
      </c>
      <c r="N14" s="14">
        <v>0.38500000000000001</v>
      </c>
      <c r="O14" s="14">
        <v>0.53200000000000003</v>
      </c>
      <c r="P14" s="14">
        <v>-0.17199999999999999</v>
      </c>
      <c r="Q14" s="14">
        <v>-0.32200000000000001</v>
      </c>
    </row>
    <row r="15" spans="2:17" x14ac:dyDescent="0.3">
      <c r="B15" s="1"/>
      <c r="D15" s="14">
        <v>2.4E-2</v>
      </c>
      <c r="E15" s="14">
        <v>-0.57599999999999996</v>
      </c>
      <c r="F15" s="14">
        <v>-0.187</v>
      </c>
      <c r="G15" s="14">
        <v>-0.193</v>
      </c>
      <c r="H15" s="14">
        <v>0.57399999999999995</v>
      </c>
      <c r="I15" s="14">
        <v>0.28399999999999997</v>
      </c>
      <c r="J15" s="14">
        <v>0.59699999999999998</v>
      </c>
      <c r="K15" s="14">
        <v>0.38300000000000001</v>
      </c>
      <c r="L15" s="14">
        <v>-0.22500000000000001</v>
      </c>
      <c r="M15" s="14">
        <v>0.38500000000000001</v>
      </c>
      <c r="N15" s="14">
        <v>1</v>
      </c>
      <c r="O15" s="14">
        <v>0.48699999999999999</v>
      </c>
      <c r="P15" s="14">
        <v>0.31</v>
      </c>
      <c r="Q15" s="14">
        <v>0.113</v>
      </c>
    </row>
    <row r="16" spans="2:17" x14ac:dyDescent="0.3">
      <c r="B16" s="1"/>
      <c r="D16" s="14">
        <v>-0.151</v>
      </c>
      <c r="E16" s="14">
        <v>-0.46800000000000003</v>
      </c>
      <c r="F16" s="14">
        <v>0.14399999999999999</v>
      </c>
      <c r="G16" s="14">
        <v>-0.158</v>
      </c>
      <c r="H16" s="14">
        <v>0.624</v>
      </c>
      <c r="I16" s="14">
        <v>0.39900000000000002</v>
      </c>
      <c r="J16" s="14">
        <v>0.33300000000000002</v>
      </c>
      <c r="K16" s="14">
        <v>8.4000000000000005E-2</v>
      </c>
      <c r="L16" s="14">
        <v>0.13200000000000001</v>
      </c>
      <c r="M16" s="14">
        <v>0.53200000000000003</v>
      </c>
      <c r="N16" s="14">
        <v>0.48699999999999999</v>
      </c>
      <c r="O16" s="14">
        <v>1</v>
      </c>
      <c r="P16" s="14">
        <v>0.26700000000000002</v>
      </c>
      <c r="Q16" s="14">
        <v>-0.129</v>
      </c>
    </row>
    <row r="17" spans="2:18" x14ac:dyDescent="0.3">
      <c r="B17" s="1"/>
      <c r="D17" s="14">
        <v>0.378</v>
      </c>
      <c r="E17" s="14">
        <v>-0.2</v>
      </c>
      <c r="F17" s="14">
        <v>-3.4000000000000002E-2</v>
      </c>
      <c r="G17" s="14">
        <v>-0.34799999999999998</v>
      </c>
      <c r="H17" s="14">
        <v>0.17199999999999999</v>
      </c>
      <c r="I17" s="14">
        <v>-0.378</v>
      </c>
      <c r="J17" s="14">
        <v>-0.41399999999999998</v>
      </c>
      <c r="K17" s="14">
        <v>-0.44800000000000001</v>
      </c>
      <c r="L17" s="14">
        <v>-0.317</v>
      </c>
      <c r="M17" s="14">
        <v>-0.17199999999999999</v>
      </c>
      <c r="N17" s="14">
        <v>0.31</v>
      </c>
      <c r="O17" s="14">
        <v>0.26700000000000002</v>
      </c>
      <c r="P17" s="14">
        <v>1</v>
      </c>
      <c r="Q17" s="14">
        <v>-0.14399999999999999</v>
      </c>
    </row>
    <row r="18" spans="2:18" x14ac:dyDescent="0.3">
      <c r="D18" s="14">
        <v>3.4000000000000002E-2</v>
      </c>
      <c r="E18" s="14">
        <v>-0.374</v>
      </c>
      <c r="F18" s="14">
        <v>0.20499999999999999</v>
      </c>
      <c r="G18" s="14">
        <v>0.33100000000000002</v>
      </c>
      <c r="H18" s="14">
        <v>0.33400000000000002</v>
      </c>
      <c r="I18" s="14">
        <v>0.113</v>
      </c>
      <c r="J18" s="14">
        <v>0.218</v>
      </c>
      <c r="K18" s="14">
        <v>0.315</v>
      </c>
      <c r="L18" s="14">
        <v>-0.59199999999999997</v>
      </c>
      <c r="M18" s="14">
        <v>-0.32200000000000001</v>
      </c>
      <c r="N18" s="14">
        <v>0.113</v>
      </c>
      <c r="O18" s="14">
        <v>-0.129</v>
      </c>
      <c r="P18" s="14">
        <v>-0.14399999999999999</v>
      </c>
      <c r="Q18" s="14">
        <v>1</v>
      </c>
    </row>
    <row r="25" spans="2:18" x14ac:dyDescent="0.3"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2:18" x14ac:dyDescent="0.3">
      <c r="C26" s="3"/>
      <c r="D26" s="3"/>
      <c r="E26" s="3" t="s">
        <v>18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2:18" x14ac:dyDescent="0.3">
      <c r="C27" s="3"/>
      <c r="D27" s="3"/>
      <c r="E27" s="22">
        <v>0</v>
      </c>
      <c r="F27" s="22">
        <v>0</v>
      </c>
      <c r="G27" s="22">
        <v>0</v>
      </c>
      <c r="H27" s="22">
        <v>0</v>
      </c>
      <c r="I27" s="22">
        <v>0</v>
      </c>
      <c r="J27" s="22">
        <v>0</v>
      </c>
      <c r="K27" s="22">
        <v>0</v>
      </c>
      <c r="L27" s="22">
        <v>0</v>
      </c>
      <c r="M27" s="22">
        <v>0</v>
      </c>
      <c r="N27" s="22">
        <v>0</v>
      </c>
      <c r="O27" s="22">
        <v>0</v>
      </c>
      <c r="P27" s="22">
        <v>0</v>
      </c>
      <c r="Q27">
        <v>0</v>
      </c>
      <c r="R27">
        <v>0</v>
      </c>
    </row>
    <row r="28" spans="2:18" x14ac:dyDescent="0.3">
      <c r="C28" s="3"/>
      <c r="D28" s="3"/>
      <c r="E28" s="22">
        <v>0</v>
      </c>
      <c r="F28" s="22">
        <v>0</v>
      </c>
      <c r="G28" s="22">
        <v>0</v>
      </c>
      <c r="H28" s="22">
        <v>0</v>
      </c>
      <c r="I28" s="22">
        <v>0</v>
      </c>
      <c r="J28" s="22">
        <v>0</v>
      </c>
      <c r="K28" s="22">
        <v>0</v>
      </c>
      <c r="L28" s="22">
        <v>0</v>
      </c>
      <c r="M28" s="22">
        <v>0</v>
      </c>
      <c r="N28" s="22">
        <v>0</v>
      </c>
      <c r="O28" s="22">
        <v>0</v>
      </c>
      <c r="P28" s="22">
        <v>0</v>
      </c>
      <c r="Q28">
        <v>0</v>
      </c>
      <c r="R28">
        <v>0</v>
      </c>
    </row>
    <row r="29" spans="2:18" x14ac:dyDescent="0.3">
      <c r="C29" s="3"/>
      <c r="D29" s="3"/>
      <c r="E29" s="22">
        <v>0</v>
      </c>
      <c r="F29" s="22">
        <v>0</v>
      </c>
      <c r="G29" s="22">
        <v>0</v>
      </c>
      <c r="H29" s="22">
        <v>1</v>
      </c>
      <c r="I29" s="22">
        <v>0</v>
      </c>
      <c r="J29" s="22">
        <v>0</v>
      </c>
      <c r="K29" s="22">
        <v>0</v>
      </c>
      <c r="L29" s="22">
        <v>0</v>
      </c>
      <c r="M29" s="22">
        <v>0</v>
      </c>
      <c r="N29" s="22">
        <v>0</v>
      </c>
      <c r="O29" s="22">
        <v>0</v>
      </c>
      <c r="P29" s="22">
        <v>0</v>
      </c>
      <c r="Q29">
        <v>0</v>
      </c>
      <c r="R29">
        <v>0</v>
      </c>
    </row>
    <row r="30" spans="2:18" x14ac:dyDescent="0.3">
      <c r="C30" s="3"/>
      <c r="D30" s="3"/>
      <c r="E30" s="22">
        <v>0</v>
      </c>
      <c r="F30" s="22">
        <v>0</v>
      </c>
      <c r="G30" s="22">
        <v>1</v>
      </c>
      <c r="H30" s="22">
        <v>0</v>
      </c>
      <c r="I30" s="22">
        <v>0</v>
      </c>
      <c r="J30" s="22">
        <v>0</v>
      </c>
      <c r="K30" s="22">
        <v>0</v>
      </c>
      <c r="L30" s="22">
        <v>0</v>
      </c>
      <c r="M30" s="22">
        <v>0</v>
      </c>
      <c r="N30" s="22">
        <v>0</v>
      </c>
      <c r="O30" s="22">
        <v>0</v>
      </c>
      <c r="P30" s="22">
        <v>0</v>
      </c>
      <c r="Q30">
        <v>0</v>
      </c>
      <c r="R30">
        <v>0</v>
      </c>
    </row>
    <row r="31" spans="2:18" x14ac:dyDescent="0.3">
      <c r="C31" s="3"/>
      <c r="D31" s="3"/>
      <c r="E31" s="22">
        <v>0</v>
      </c>
      <c r="F31" s="22">
        <v>0</v>
      </c>
      <c r="G31" s="22">
        <v>0</v>
      </c>
      <c r="H31" s="22">
        <v>0</v>
      </c>
      <c r="I31" s="22">
        <v>0</v>
      </c>
      <c r="J31" s="22">
        <v>0</v>
      </c>
      <c r="K31" s="22">
        <v>0</v>
      </c>
      <c r="L31" s="22">
        <v>0</v>
      </c>
      <c r="M31" s="22">
        <v>0</v>
      </c>
      <c r="N31" s="22">
        <v>0</v>
      </c>
      <c r="O31" s="22">
        <v>0</v>
      </c>
      <c r="P31" s="22">
        <v>0</v>
      </c>
      <c r="Q31">
        <v>0</v>
      </c>
      <c r="R31">
        <v>0</v>
      </c>
    </row>
    <row r="32" spans="2:18" x14ac:dyDescent="0.3">
      <c r="C32" s="3"/>
      <c r="D32" s="3"/>
      <c r="E32" s="22">
        <v>0</v>
      </c>
      <c r="F32" s="22">
        <v>0</v>
      </c>
      <c r="G32" s="22">
        <v>0</v>
      </c>
      <c r="H32" s="22">
        <v>0</v>
      </c>
      <c r="I32" s="22">
        <v>0</v>
      </c>
      <c r="J32" s="22">
        <v>0</v>
      </c>
      <c r="K32" s="22">
        <v>0</v>
      </c>
      <c r="L32" s="22">
        <v>0</v>
      </c>
      <c r="M32" s="22">
        <v>0</v>
      </c>
      <c r="N32" s="22">
        <v>0</v>
      </c>
      <c r="O32" s="22">
        <v>0</v>
      </c>
      <c r="P32" s="22">
        <v>0</v>
      </c>
      <c r="Q32">
        <v>0</v>
      </c>
      <c r="R32">
        <v>0</v>
      </c>
    </row>
    <row r="33" spans="3:18" x14ac:dyDescent="0.3">
      <c r="C33" s="3"/>
      <c r="D33" s="3"/>
      <c r="E33" s="22">
        <v>0</v>
      </c>
      <c r="F33" s="22">
        <v>0</v>
      </c>
      <c r="G33" s="22">
        <v>0</v>
      </c>
      <c r="H33" s="22">
        <v>0</v>
      </c>
      <c r="I33" s="22">
        <v>0</v>
      </c>
      <c r="J33" s="22">
        <v>0</v>
      </c>
      <c r="K33" s="22">
        <v>0</v>
      </c>
      <c r="L33" s="22">
        <v>1</v>
      </c>
      <c r="M33" s="22">
        <v>0</v>
      </c>
      <c r="N33" s="22">
        <v>0</v>
      </c>
      <c r="O33" s="22">
        <v>0</v>
      </c>
      <c r="P33" s="22">
        <v>0</v>
      </c>
      <c r="Q33">
        <v>0</v>
      </c>
      <c r="R33">
        <v>0</v>
      </c>
    </row>
    <row r="34" spans="3:18" x14ac:dyDescent="0.3">
      <c r="C34" s="3"/>
      <c r="D34" s="3"/>
      <c r="E34" s="22">
        <v>0</v>
      </c>
      <c r="F34" s="22">
        <v>0</v>
      </c>
      <c r="G34" s="22">
        <v>0</v>
      </c>
      <c r="H34" s="22">
        <v>0</v>
      </c>
      <c r="I34" s="22">
        <v>0</v>
      </c>
      <c r="J34" s="22">
        <v>0</v>
      </c>
      <c r="K34" s="22">
        <v>1</v>
      </c>
      <c r="L34" s="22">
        <v>0</v>
      </c>
      <c r="M34" s="22">
        <v>0</v>
      </c>
      <c r="N34" s="22">
        <v>0</v>
      </c>
      <c r="O34" s="22">
        <v>0</v>
      </c>
      <c r="P34" s="22">
        <v>0</v>
      </c>
      <c r="Q34">
        <v>0</v>
      </c>
      <c r="R34">
        <v>0</v>
      </c>
    </row>
    <row r="35" spans="3:18" x14ac:dyDescent="0.3">
      <c r="C35" s="3"/>
      <c r="D35" s="3"/>
      <c r="E35" s="22">
        <v>0</v>
      </c>
      <c r="F35" s="22">
        <v>0</v>
      </c>
      <c r="G35" s="22">
        <v>0</v>
      </c>
      <c r="H35" s="22">
        <v>0</v>
      </c>
      <c r="I35" s="22">
        <v>0</v>
      </c>
      <c r="J35" s="22">
        <v>0</v>
      </c>
      <c r="K35" s="22">
        <v>0</v>
      </c>
      <c r="L35" s="22">
        <v>0</v>
      </c>
      <c r="M35" s="22">
        <v>0</v>
      </c>
      <c r="N35" s="22">
        <v>0</v>
      </c>
      <c r="O35" s="22">
        <v>0</v>
      </c>
      <c r="P35" s="22">
        <v>0</v>
      </c>
      <c r="Q35">
        <v>0</v>
      </c>
      <c r="R35">
        <v>0</v>
      </c>
    </row>
    <row r="36" spans="3:18" x14ac:dyDescent="0.3">
      <c r="C36" s="3"/>
      <c r="D36" s="3"/>
      <c r="E36" s="22">
        <v>0</v>
      </c>
      <c r="F36" s="22">
        <v>0</v>
      </c>
      <c r="G36" s="22">
        <v>0</v>
      </c>
      <c r="H36" s="22">
        <v>0</v>
      </c>
      <c r="I36" s="22">
        <v>0</v>
      </c>
      <c r="J36" s="22">
        <v>0</v>
      </c>
      <c r="K36" s="22">
        <v>0</v>
      </c>
      <c r="L36" s="22">
        <v>0</v>
      </c>
      <c r="M36" s="22">
        <v>0</v>
      </c>
      <c r="N36" s="22">
        <v>0</v>
      </c>
      <c r="O36" s="22">
        <v>0</v>
      </c>
      <c r="P36" s="22">
        <v>0</v>
      </c>
      <c r="Q36">
        <v>0</v>
      </c>
      <c r="R36">
        <v>0</v>
      </c>
    </row>
    <row r="37" spans="3:18" x14ac:dyDescent="0.3">
      <c r="C37" s="3"/>
      <c r="D37" s="3"/>
      <c r="E37" s="22">
        <v>0</v>
      </c>
      <c r="F37" s="22">
        <v>0</v>
      </c>
      <c r="G37" s="22">
        <v>0</v>
      </c>
      <c r="H37" s="22">
        <v>0</v>
      </c>
      <c r="I37" s="22">
        <v>0</v>
      </c>
      <c r="J37" s="22">
        <v>0</v>
      </c>
      <c r="K37" s="22">
        <v>0</v>
      </c>
      <c r="L37" s="22">
        <v>0</v>
      </c>
      <c r="M37" s="22">
        <v>0</v>
      </c>
      <c r="N37" s="22">
        <v>0</v>
      </c>
      <c r="O37" s="22">
        <v>0</v>
      </c>
      <c r="P37" s="22">
        <v>0</v>
      </c>
      <c r="Q37">
        <v>0</v>
      </c>
      <c r="R37">
        <v>0</v>
      </c>
    </row>
    <row r="38" spans="3:18" x14ac:dyDescent="0.3">
      <c r="C38" s="3"/>
      <c r="D38" s="3"/>
      <c r="E38" s="22">
        <v>0</v>
      </c>
      <c r="F38" s="22">
        <v>0</v>
      </c>
      <c r="G38" s="22">
        <v>0</v>
      </c>
      <c r="H38" s="22">
        <v>0</v>
      </c>
      <c r="I38" s="22">
        <v>0</v>
      </c>
      <c r="J38" s="22">
        <v>0</v>
      </c>
      <c r="K38" s="22">
        <v>0</v>
      </c>
      <c r="L38" s="22">
        <v>0</v>
      </c>
      <c r="M38" s="22">
        <v>0</v>
      </c>
      <c r="N38" s="22">
        <v>0</v>
      </c>
      <c r="O38" s="22">
        <v>0</v>
      </c>
      <c r="P38" s="22">
        <v>0</v>
      </c>
      <c r="Q38">
        <v>0</v>
      </c>
      <c r="R38">
        <v>0</v>
      </c>
    </row>
    <row r="39" spans="3:18" x14ac:dyDescent="0.3"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</row>
    <row r="40" spans="3:18" x14ac:dyDescent="0.3"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</row>
    <row r="43" spans="3:18" x14ac:dyDescent="0.25">
      <c r="C43" s="21"/>
      <c r="D43" s="21"/>
      <c r="E43" s="21"/>
      <c r="F43" s="21"/>
      <c r="G43" s="21"/>
      <c r="H43" s="21"/>
      <c r="I43" s="21"/>
      <c r="J43" s="10"/>
    </row>
    <row r="44" spans="3:18" ht="23" customHeight="1" x14ac:dyDescent="0.25">
      <c r="C44" s="5"/>
      <c r="J44" s="4"/>
    </row>
    <row r="45" spans="3:18" x14ac:dyDescent="0.25">
      <c r="C45" s="6"/>
      <c r="J45" s="4"/>
    </row>
    <row r="46" spans="3:18" x14ac:dyDescent="0.25">
      <c r="C46" s="11"/>
      <c r="E46" t="s">
        <v>19</v>
      </c>
      <c r="J46" s="10"/>
    </row>
    <row r="47" spans="3:18" x14ac:dyDescent="0.3">
      <c r="C47" s="12"/>
      <c r="D47" s="7"/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1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</row>
    <row r="48" spans="3:18" x14ac:dyDescent="0.3">
      <c r="C48" s="12"/>
      <c r="D48" s="7"/>
      <c r="E48">
        <v>0</v>
      </c>
      <c r="F48">
        <v>0</v>
      </c>
      <c r="G48">
        <v>0</v>
      </c>
      <c r="H48">
        <v>0</v>
      </c>
      <c r="I48">
        <v>1</v>
      </c>
      <c r="J48">
        <v>0</v>
      </c>
      <c r="K48">
        <v>0</v>
      </c>
      <c r="L48">
        <v>0</v>
      </c>
      <c r="M48">
        <v>0</v>
      </c>
      <c r="N48">
        <v>0</v>
      </c>
      <c r="O48">
        <v>1</v>
      </c>
      <c r="P48">
        <v>0</v>
      </c>
      <c r="Q48">
        <v>0</v>
      </c>
      <c r="R48">
        <v>0</v>
      </c>
    </row>
    <row r="49" spans="3:18" x14ac:dyDescent="0.3">
      <c r="C49" s="12"/>
      <c r="D49" s="7"/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</row>
    <row r="50" spans="3:18" x14ac:dyDescent="0.3">
      <c r="C50" s="12"/>
      <c r="D50" s="7"/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</row>
    <row r="51" spans="3:18" x14ac:dyDescent="0.3">
      <c r="C51" s="12"/>
      <c r="D51" s="7"/>
      <c r="E51">
        <v>0</v>
      </c>
      <c r="F51">
        <v>1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1</v>
      </c>
      <c r="P51">
        <v>1</v>
      </c>
      <c r="Q51">
        <v>0</v>
      </c>
      <c r="R51">
        <v>0</v>
      </c>
    </row>
    <row r="52" spans="3:18" x14ac:dyDescent="0.3">
      <c r="C52" s="12"/>
      <c r="D52" s="7"/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1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</row>
    <row r="53" spans="3:18" x14ac:dyDescent="0.3">
      <c r="C53" s="12"/>
      <c r="D53" s="7"/>
      <c r="E53">
        <v>1</v>
      </c>
      <c r="F53">
        <v>0</v>
      </c>
      <c r="G53">
        <v>0</v>
      </c>
      <c r="H53">
        <v>0</v>
      </c>
      <c r="I53">
        <v>0</v>
      </c>
      <c r="J53">
        <v>1</v>
      </c>
      <c r="K53">
        <v>0</v>
      </c>
      <c r="L53">
        <v>0</v>
      </c>
      <c r="M53">
        <v>0</v>
      </c>
      <c r="N53">
        <v>0</v>
      </c>
      <c r="O53">
        <v>1</v>
      </c>
      <c r="P53">
        <v>0</v>
      </c>
      <c r="Q53">
        <v>0</v>
      </c>
      <c r="R53">
        <v>0</v>
      </c>
    </row>
    <row r="54" spans="3:18" x14ac:dyDescent="0.3">
      <c r="C54" s="12"/>
      <c r="D54" s="7"/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</row>
    <row r="55" spans="3:18" x14ac:dyDescent="0.3">
      <c r="C55" s="12"/>
      <c r="D55" s="7"/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1</v>
      </c>
      <c r="O55">
        <v>0</v>
      </c>
      <c r="P55">
        <v>0</v>
      </c>
      <c r="Q55">
        <v>0</v>
      </c>
      <c r="R55">
        <v>1</v>
      </c>
    </row>
    <row r="56" spans="3:18" x14ac:dyDescent="0.3">
      <c r="C56" s="12"/>
      <c r="D56" s="7"/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1</v>
      </c>
      <c r="N56">
        <v>0</v>
      </c>
      <c r="O56">
        <v>0</v>
      </c>
      <c r="P56">
        <v>0</v>
      </c>
      <c r="Q56">
        <v>0</v>
      </c>
      <c r="R56">
        <v>0</v>
      </c>
    </row>
    <row r="57" spans="3:18" x14ac:dyDescent="0.3">
      <c r="C57" s="12"/>
      <c r="D57" s="7"/>
      <c r="E57">
        <v>0</v>
      </c>
      <c r="F57">
        <v>1</v>
      </c>
      <c r="G57">
        <v>0</v>
      </c>
      <c r="H57">
        <v>0</v>
      </c>
      <c r="I57">
        <v>1</v>
      </c>
      <c r="J57">
        <v>0</v>
      </c>
      <c r="K57">
        <v>1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</row>
    <row r="58" spans="3:18" x14ac:dyDescent="0.3">
      <c r="C58" s="12"/>
      <c r="D58" s="7"/>
      <c r="E58">
        <v>0</v>
      </c>
      <c r="F58">
        <v>0</v>
      </c>
      <c r="G58">
        <v>0</v>
      </c>
      <c r="H58">
        <v>0</v>
      </c>
      <c r="I58">
        <v>1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</row>
    <row r="59" spans="3:18" x14ac:dyDescent="0.3">
      <c r="C59" s="13"/>
      <c r="D59" s="8"/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</row>
    <row r="60" spans="3:18" x14ac:dyDescent="0.3">
      <c r="C60" s="9"/>
      <c r="D60" s="9"/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1</v>
      </c>
      <c r="N60">
        <v>0</v>
      </c>
      <c r="O60">
        <v>0</v>
      </c>
      <c r="P60">
        <v>0</v>
      </c>
      <c r="Q60">
        <v>0</v>
      </c>
      <c r="R60">
        <v>0</v>
      </c>
    </row>
    <row r="61" spans="3:18" x14ac:dyDescent="0.25">
      <c r="C61" s="9"/>
      <c r="D61" s="9"/>
      <c r="E61" s="9"/>
      <c r="F61" s="9"/>
      <c r="G61" s="9"/>
      <c r="H61" s="9"/>
      <c r="I61" s="9"/>
      <c r="J61" s="4"/>
      <c r="O61" s="14"/>
    </row>
    <row r="65" spans="5:18" x14ac:dyDescent="0.3">
      <c r="E65" t="s">
        <v>20</v>
      </c>
    </row>
    <row r="66" spans="5:18" x14ac:dyDescent="0.3"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</row>
    <row r="67" spans="5:18" x14ac:dyDescent="0.3"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1</v>
      </c>
      <c r="Q67">
        <v>0</v>
      </c>
      <c r="R67">
        <v>0</v>
      </c>
    </row>
    <row r="68" spans="5:18" x14ac:dyDescent="0.3"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</row>
    <row r="69" spans="5:18" x14ac:dyDescent="0.3"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</row>
    <row r="70" spans="5:18" x14ac:dyDescent="0.3">
      <c r="E70">
        <v>0</v>
      </c>
      <c r="F70">
        <v>0</v>
      </c>
      <c r="G70">
        <v>0</v>
      </c>
      <c r="H70">
        <v>0</v>
      </c>
      <c r="I70">
        <v>0</v>
      </c>
      <c r="J70">
        <v>1</v>
      </c>
      <c r="K70">
        <v>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</row>
    <row r="71" spans="5:18" x14ac:dyDescent="0.3">
      <c r="E71">
        <v>0</v>
      </c>
      <c r="F71">
        <v>0</v>
      </c>
      <c r="G71">
        <v>0</v>
      </c>
      <c r="H71">
        <v>0</v>
      </c>
      <c r="I71">
        <v>1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</row>
    <row r="72" spans="5:18" x14ac:dyDescent="0.3">
      <c r="E72">
        <v>0</v>
      </c>
      <c r="F72">
        <v>0</v>
      </c>
      <c r="G72">
        <v>0</v>
      </c>
      <c r="H72">
        <v>0</v>
      </c>
      <c r="I72">
        <v>1</v>
      </c>
      <c r="J72">
        <v>0</v>
      </c>
      <c r="K72">
        <v>0</v>
      </c>
      <c r="L72">
        <v>0</v>
      </c>
      <c r="M72">
        <v>0</v>
      </c>
      <c r="N72">
        <v>1</v>
      </c>
      <c r="O72">
        <v>0</v>
      </c>
      <c r="P72">
        <v>0</v>
      </c>
      <c r="Q72">
        <v>0</v>
      </c>
      <c r="R72">
        <v>0</v>
      </c>
    </row>
    <row r="73" spans="5:18" x14ac:dyDescent="0.3"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1</v>
      </c>
      <c r="O73">
        <v>0</v>
      </c>
      <c r="P73">
        <v>0</v>
      </c>
      <c r="Q73">
        <v>0</v>
      </c>
      <c r="R73">
        <v>0</v>
      </c>
    </row>
    <row r="74" spans="5:18" x14ac:dyDescent="0.3"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</row>
    <row r="75" spans="5:18" x14ac:dyDescent="0.3"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1</v>
      </c>
      <c r="L75">
        <v>1</v>
      </c>
      <c r="M75">
        <v>0</v>
      </c>
      <c r="N75">
        <v>0</v>
      </c>
      <c r="O75">
        <v>0</v>
      </c>
      <c r="P75">
        <v>1</v>
      </c>
      <c r="Q75">
        <v>0</v>
      </c>
      <c r="R75">
        <v>0</v>
      </c>
    </row>
    <row r="76" spans="5:18" x14ac:dyDescent="0.3"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1</v>
      </c>
      <c r="Q76">
        <v>0</v>
      </c>
      <c r="R76">
        <v>0</v>
      </c>
    </row>
    <row r="77" spans="5:18" x14ac:dyDescent="0.3">
      <c r="E77">
        <v>0</v>
      </c>
      <c r="F77">
        <v>1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1</v>
      </c>
      <c r="O77">
        <v>1</v>
      </c>
      <c r="P77">
        <v>0</v>
      </c>
      <c r="Q77">
        <v>0</v>
      </c>
      <c r="R77">
        <v>0</v>
      </c>
    </row>
    <row r="78" spans="5:18" x14ac:dyDescent="0.3"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</row>
    <row r="79" spans="5:18" x14ac:dyDescent="0.3"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</row>
  </sheetData>
  <mergeCells count="1">
    <mergeCell ref="C43:I43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A7E6C-A4E2-4ACD-B5F8-8647D2DB3314}">
  <dimension ref="A1:N73"/>
  <sheetViews>
    <sheetView topLeftCell="A61" workbookViewId="0">
      <selection activeCell="G72" sqref="G72"/>
    </sheetView>
  </sheetViews>
  <sheetFormatPr defaultRowHeight="14" x14ac:dyDescent="0.3"/>
  <sheetData>
    <row r="1" spans="1:14" x14ac:dyDescent="0.3">
      <c r="A1" s="22">
        <v>0</v>
      </c>
      <c r="B1" s="22">
        <v>0</v>
      </c>
      <c r="C1" s="22">
        <v>0</v>
      </c>
      <c r="D1" s="22">
        <v>0</v>
      </c>
      <c r="E1" s="22">
        <v>0</v>
      </c>
      <c r="F1" s="22">
        <v>0</v>
      </c>
      <c r="G1" s="22">
        <v>0</v>
      </c>
      <c r="H1" s="22">
        <v>0</v>
      </c>
      <c r="I1" s="22">
        <v>0</v>
      </c>
      <c r="J1" s="22">
        <v>0</v>
      </c>
      <c r="K1" s="22">
        <v>0</v>
      </c>
      <c r="L1" s="22">
        <v>0</v>
      </c>
      <c r="M1">
        <v>0</v>
      </c>
      <c r="N1">
        <v>0</v>
      </c>
    </row>
    <row r="2" spans="1:14" x14ac:dyDescent="0.3">
      <c r="A2" s="22">
        <v>0</v>
      </c>
      <c r="B2" s="22">
        <v>0</v>
      </c>
      <c r="C2" s="22">
        <v>0</v>
      </c>
      <c r="D2" s="22">
        <v>0</v>
      </c>
      <c r="E2" s="22">
        <v>0</v>
      </c>
      <c r="F2" s="22">
        <v>0</v>
      </c>
      <c r="G2" s="22">
        <v>0</v>
      </c>
      <c r="H2" s="22">
        <v>0</v>
      </c>
      <c r="I2" s="22">
        <v>0</v>
      </c>
      <c r="J2" s="22">
        <v>0</v>
      </c>
      <c r="K2" s="22">
        <v>0</v>
      </c>
      <c r="L2" s="22">
        <v>0</v>
      </c>
      <c r="M2">
        <v>0</v>
      </c>
      <c r="N2">
        <v>0</v>
      </c>
    </row>
    <row r="3" spans="1:14" x14ac:dyDescent="0.3">
      <c r="A3" s="22">
        <v>0</v>
      </c>
      <c r="B3" s="22">
        <v>0</v>
      </c>
      <c r="C3" s="22">
        <v>0</v>
      </c>
      <c r="D3" s="22">
        <v>1</v>
      </c>
      <c r="E3" s="22">
        <v>0</v>
      </c>
      <c r="F3" s="22">
        <v>0</v>
      </c>
      <c r="G3" s="22">
        <v>0</v>
      </c>
      <c r="H3" s="22">
        <v>0</v>
      </c>
      <c r="I3" s="22">
        <v>0</v>
      </c>
      <c r="J3" s="22">
        <v>0</v>
      </c>
      <c r="K3" s="22">
        <v>0</v>
      </c>
      <c r="L3" s="22">
        <v>0</v>
      </c>
      <c r="M3">
        <v>0</v>
      </c>
      <c r="N3">
        <v>0</v>
      </c>
    </row>
    <row r="4" spans="1:14" x14ac:dyDescent="0.3">
      <c r="A4" s="22">
        <v>0</v>
      </c>
      <c r="B4" s="22">
        <v>0</v>
      </c>
      <c r="C4" s="22">
        <v>1</v>
      </c>
      <c r="D4" s="22">
        <v>0</v>
      </c>
      <c r="E4" s="22">
        <v>0</v>
      </c>
      <c r="F4" s="22">
        <v>0</v>
      </c>
      <c r="G4" s="22">
        <v>0</v>
      </c>
      <c r="H4" s="22">
        <v>0</v>
      </c>
      <c r="I4" s="22">
        <v>0</v>
      </c>
      <c r="J4" s="22">
        <v>0</v>
      </c>
      <c r="K4" s="22">
        <v>0</v>
      </c>
      <c r="L4" s="22">
        <v>0</v>
      </c>
      <c r="M4">
        <v>0</v>
      </c>
      <c r="N4">
        <v>0</v>
      </c>
    </row>
    <row r="5" spans="1:14" x14ac:dyDescent="0.3">
      <c r="A5" s="22">
        <v>0</v>
      </c>
      <c r="B5" s="22">
        <v>0</v>
      </c>
      <c r="C5" s="22">
        <v>0</v>
      </c>
      <c r="D5" s="22">
        <v>0</v>
      </c>
      <c r="E5" s="22">
        <v>0</v>
      </c>
      <c r="F5" s="22">
        <v>0</v>
      </c>
      <c r="G5" s="22">
        <v>0</v>
      </c>
      <c r="H5" s="22">
        <v>0</v>
      </c>
      <c r="I5" s="22">
        <v>0</v>
      </c>
      <c r="J5" s="22">
        <v>0</v>
      </c>
      <c r="K5" s="22">
        <v>0</v>
      </c>
      <c r="L5" s="22">
        <v>0</v>
      </c>
      <c r="M5">
        <v>0</v>
      </c>
      <c r="N5">
        <v>0</v>
      </c>
    </row>
    <row r="6" spans="1:14" x14ac:dyDescent="0.3">
      <c r="A6" s="22">
        <v>0</v>
      </c>
      <c r="B6" s="22">
        <v>0</v>
      </c>
      <c r="C6" s="22">
        <v>0</v>
      </c>
      <c r="D6" s="22">
        <v>0</v>
      </c>
      <c r="E6" s="22">
        <v>0</v>
      </c>
      <c r="F6" s="22">
        <v>0</v>
      </c>
      <c r="G6" s="22">
        <v>0</v>
      </c>
      <c r="H6" s="22">
        <v>0</v>
      </c>
      <c r="I6" s="22">
        <v>0</v>
      </c>
      <c r="J6" s="22">
        <v>0</v>
      </c>
      <c r="K6" s="22">
        <v>0</v>
      </c>
      <c r="L6" s="22">
        <v>0</v>
      </c>
      <c r="M6">
        <v>0</v>
      </c>
      <c r="N6">
        <v>0</v>
      </c>
    </row>
    <row r="7" spans="1:14" x14ac:dyDescent="0.3">
      <c r="A7" s="22">
        <v>0</v>
      </c>
      <c r="B7" s="22">
        <v>0</v>
      </c>
      <c r="C7" s="22">
        <v>0</v>
      </c>
      <c r="D7" s="22">
        <v>0</v>
      </c>
      <c r="E7" s="22">
        <v>0</v>
      </c>
      <c r="F7" s="22">
        <v>0</v>
      </c>
      <c r="G7" s="22">
        <v>0</v>
      </c>
      <c r="H7" s="22">
        <v>1</v>
      </c>
      <c r="I7" s="22">
        <v>0</v>
      </c>
      <c r="J7" s="22">
        <v>0</v>
      </c>
      <c r="K7" s="22">
        <v>0</v>
      </c>
      <c r="L7" s="22">
        <v>0</v>
      </c>
      <c r="M7">
        <v>0</v>
      </c>
      <c r="N7">
        <v>0</v>
      </c>
    </row>
    <row r="8" spans="1:14" x14ac:dyDescent="0.3">
      <c r="A8" s="22">
        <v>0</v>
      </c>
      <c r="B8" s="22">
        <v>0</v>
      </c>
      <c r="C8" s="22">
        <v>0</v>
      </c>
      <c r="D8" s="22">
        <v>0</v>
      </c>
      <c r="E8" s="22">
        <v>0</v>
      </c>
      <c r="F8" s="22">
        <v>0</v>
      </c>
      <c r="G8" s="22">
        <v>1</v>
      </c>
      <c r="H8" s="22">
        <v>0</v>
      </c>
      <c r="I8" s="22">
        <v>0</v>
      </c>
      <c r="J8" s="22">
        <v>0</v>
      </c>
      <c r="K8" s="22">
        <v>0</v>
      </c>
      <c r="L8" s="22">
        <v>0</v>
      </c>
      <c r="M8">
        <v>0</v>
      </c>
      <c r="N8">
        <v>0</v>
      </c>
    </row>
    <row r="9" spans="1:14" x14ac:dyDescent="0.3">
      <c r="A9" s="22">
        <v>0</v>
      </c>
      <c r="B9" s="22">
        <v>0</v>
      </c>
      <c r="C9" s="22">
        <v>0</v>
      </c>
      <c r="D9" s="22">
        <v>0</v>
      </c>
      <c r="E9" s="22">
        <v>0</v>
      </c>
      <c r="F9" s="22">
        <v>0</v>
      </c>
      <c r="G9" s="22">
        <v>0</v>
      </c>
      <c r="H9" s="22">
        <v>0</v>
      </c>
      <c r="I9" s="22">
        <v>0</v>
      </c>
      <c r="J9" s="22">
        <v>0</v>
      </c>
      <c r="K9" s="22">
        <v>0</v>
      </c>
      <c r="L9" s="22">
        <v>0</v>
      </c>
      <c r="M9">
        <v>0</v>
      </c>
      <c r="N9">
        <v>0</v>
      </c>
    </row>
    <row r="10" spans="1:14" x14ac:dyDescent="0.3">
      <c r="A10" s="22">
        <v>0</v>
      </c>
      <c r="B10" s="22">
        <v>0</v>
      </c>
      <c r="C10" s="22">
        <v>0</v>
      </c>
      <c r="D10" s="22">
        <v>0</v>
      </c>
      <c r="E10" s="22">
        <v>0</v>
      </c>
      <c r="F10" s="22">
        <v>0</v>
      </c>
      <c r="G10" s="22">
        <v>0</v>
      </c>
      <c r="H10" s="22">
        <v>0</v>
      </c>
      <c r="I10" s="22">
        <v>0</v>
      </c>
      <c r="J10" s="22">
        <v>0</v>
      </c>
      <c r="K10" s="22">
        <v>0</v>
      </c>
      <c r="L10" s="22">
        <v>0</v>
      </c>
      <c r="M10">
        <v>0</v>
      </c>
      <c r="N10">
        <v>0</v>
      </c>
    </row>
    <row r="11" spans="1:14" x14ac:dyDescent="0.3">
      <c r="A11" s="22">
        <v>0</v>
      </c>
      <c r="B11" s="22">
        <v>0</v>
      </c>
      <c r="C11" s="22">
        <v>0</v>
      </c>
      <c r="D11" s="22">
        <v>0</v>
      </c>
      <c r="E11" s="22">
        <v>0</v>
      </c>
      <c r="F11" s="22">
        <v>0</v>
      </c>
      <c r="G11" s="22">
        <v>0</v>
      </c>
      <c r="H11" s="22">
        <v>0</v>
      </c>
      <c r="I11" s="22">
        <v>0</v>
      </c>
      <c r="J11" s="22">
        <v>0</v>
      </c>
      <c r="K11" s="22">
        <v>0</v>
      </c>
      <c r="L11" s="22">
        <v>0</v>
      </c>
      <c r="M11">
        <v>0</v>
      </c>
      <c r="N11">
        <v>0</v>
      </c>
    </row>
    <row r="12" spans="1:14" x14ac:dyDescent="0.3">
      <c r="A12" s="22">
        <v>0</v>
      </c>
      <c r="B12" s="22">
        <v>0</v>
      </c>
      <c r="C12" s="22">
        <v>0</v>
      </c>
      <c r="D12" s="22">
        <v>0</v>
      </c>
      <c r="E12" s="22">
        <v>0</v>
      </c>
      <c r="F12" s="22">
        <v>0</v>
      </c>
      <c r="G12" s="22">
        <v>0</v>
      </c>
      <c r="H12" s="22">
        <v>0</v>
      </c>
      <c r="I12" s="22">
        <v>0</v>
      </c>
      <c r="J12" s="22">
        <v>0</v>
      </c>
      <c r="K12" s="22">
        <v>0</v>
      </c>
      <c r="L12" s="22">
        <v>0</v>
      </c>
      <c r="M12">
        <v>0</v>
      </c>
      <c r="N12">
        <v>0</v>
      </c>
    </row>
    <row r="13" spans="1:14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14" x14ac:dyDescent="0.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6" spans="1:14" x14ac:dyDescent="0.3">
      <c r="A16" s="14">
        <v>1</v>
      </c>
      <c r="B16" s="14">
        <v>-0.443</v>
      </c>
      <c r="C16" s="14">
        <v>-0.40699999999999997</v>
      </c>
      <c r="D16" s="14">
        <v>-0.34</v>
      </c>
      <c r="E16" s="14">
        <v>1.2999999999999999E-2</v>
      </c>
      <c r="F16" s="14">
        <v>-0.14699999999999999</v>
      </c>
      <c r="G16" s="14">
        <v>-0.58399999999999996</v>
      </c>
      <c r="H16" s="14">
        <v>-0.33400000000000002</v>
      </c>
      <c r="I16" s="14">
        <v>5.0000000000000001E-3</v>
      </c>
      <c r="J16" s="14">
        <v>-8.0000000000000002E-3</v>
      </c>
      <c r="K16" s="14">
        <v>2.4E-2</v>
      </c>
      <c r="L16" s="14">
        <v>-0.151</v>
      </c>
      <c r="M16" s="14">
        <v>0.378</v>
      </c>
      <c r="N16" s="14">
        <v>3.4000000000000002E-2</v>
      </c>
    </row>
    <row r="17" spans="1:14" x14ac:dyDescent="0.3">
      <c r="A17" s="14">
        <v>-0.443</v>
      </c>
      <c r="B17" s="14">
        <v>1</v>
      </c>
      <c r="C17" s="14">
        <v>0.28399999999999997</v>
      </c>
      <c r="D17" s="14">
        <v>0.22500000000000001</v>
      </c>
      <c r="E17" s="14">
        <v>-0.59</v>
      </c>
      <c r="F17" s="14">
        <v>-0.182</v>
      </c>
      <c r="G17" s="14">
        <v>-0.223</v>
      </c>
      <c r="H17" s="14">
        <v>-0.28499999999999998</v>
      </c>
      <c r="I17" s="14">
        <v>0.10199999999999999</v>
      </c>
      <c r="J17" s="14">
        <v>-0.44900000000000001</v>
      </c>
      <c r="K17" s="14">
        <v>-0.57599999999999996</v>
      </c>
      <c r="L17" s="14">
        <v>-0.46800000000000003</v>
      </c>
      <c r="M17" s="14">
        <v>-0.2</v>
      </c>
      <c r="N17" s="14">
        <v>-0.374</v>
      </c>
    </row>
    <row r="18" spans="1:14" x14ac:dyDescent="0.3">
      <c r="A18" s="14">
        <v>-0.40699999999999997</v>
      </c>
      <c r="B18" s="14">
        <v>0.28399999999999997</v>
      </c>
      <c r="C18" s="14">
        <v>1</v>
      </c>
      <c r="D18" s="14">
        <v>0.80400000000000005</v>
      </c>
      <c r="E18" s="14">
        <v>-0.23799999999999999</v>
      </c>
      <c r="F18" s="14">
        <v>0.13400000000000001</v>
      </c>
      <c r="G18" s="14">
        <v>7.9000000000000001E-2</v>
      </c>
      <c r="H18" s="14">
        <v>0.2</v>
      </c>
      <c r="I18" s="14">
        <v>-0.26300000000000001</v>
      </c>
      <c r="J18" s="14">
        <v>-0.22800000000000001</v>
      </c>
      <c r="K18" s="14">
        <v>-0.187</v>
      </c>
      <c r="L18" s="14">
        <v>0.14399999999999999</v>
      </c>
      <c r="M18" s="14">
        <v>-3.4000000000000002E-2</v>
      </c>
      <c r="N18" s="14">
        <v>0.20499999999999999</v>
      </c>
    </row>
    <row r="19" spans="1:14" x14ac:dyDescent="0.3">
      <c r="A19" s="14">
        <v>-0.34</v>
      </c>
      <c r="B19" s="14">
        <v>0.22500000000000001</v>
      </c>
      <c r="C19" s="14">
        <v>0.80400000000000005</v>
      </c>
      <c r="D19" s="14">
        <v>1</v>
      </c>
      <c r="E19" s="14">
        <v>-0.32500000000000001</v>
      </c>
      <c r="F19" s="14">
        <v>0.371</v>
      </c>
      <c r="G19" s="14">
        <v>0.23499999999999999</v>
      </c>
      <c r="H19" s="14">
        <v>0.27400000000000002</v>
      </c>
      <c r="I19" s="14">
        <v>-0.17699999999999999</v>
      </c>
      <c r="J19" s="14">
        <v>-0.23499999999999999</v>
      </c>
      <c r="K19" s="14">
        <v>-0.193</v>
      </c>
      <c r="L19" s="14">
        <v>-0.158</v>
      </c>
      <c r="M19" s="14">
        <v>-0.34799999999999998</v>
      </c>
      <c r="N19" s="14">
        <v>0.33100000000000002</v>
      </c>
    </row>
    <row r="20" spans="1:14" x14ac:dyDescent="0.3">
      <c r="A20" s="14">
        <v>1.2999999999999999E-2</v>
      </c>
      <c r="B20" s="14">
        <v>-0.59</v>
      </c>
      <c r="C20" s="14">
        <v>-0.23799999999999999</v>
      </c>
      <c r="D20" s="14">
        <v>-0.32500000000000001</v>
      </c>
      <c r="E20" s="14">
        <v>1</v>
      </c>
      <c r="F20" s="14">
        <v>0.46899999999999997</v>
      </c>
      <c r="G20" s="14">
        <v>0.48599999999999999</v>
      </c>
      <c r="H20" s="14">
        <v>0.19800000000000001</v>
      </c>
      <c r="I20" s="14">
        <v>-6.3E-2</v>
      </c>
      <c r="J20" s="14">
        <v>0.45500000000000002</v>
      </c>
      <c r="K20" s="14">
        <v>0.57399999999999995</v>
      </c>
      <c r="L20" s="14">
        <v>0.624</v>
      </c>
      <c r="M20" s="14">
        <v>0.17199999999999999</v>
      </c>
      <c r="N20" s="14">
        <v>0.33400000000000002</v>
      </c>
    </row>
    <row r="21" spans="1:14" x14ac:dyDescent="0.3">
      <c r="A21" s="14">
        <v>-0.14699999999999999</v>
      </c>
      <c r="B21" s="14">
        <v>-0.182</v>
      </c>
      <c r="C21" s="14">
        <v>0.13400000000000001</v>
      </c>
      <c r="D21" s="14">
        <v>0.371</v>
      </c>
      <c r="E21" s="14">
        <v>0.46899999999999997</v>
      </c>
      <c r="F21" s="14">
        <v>1</v>
      </c>
      <c r="G21" s="14">
        <v>0.56399999999999995</v>
      </c>
      <c r="H21" s="14">
        <v>0.17199999999999999</v>
      </c>
      <c r="I21" s="14">
        <v>0.29499999999999998</v>
      </c>
      <c r="J21" s="14">
        <v>0.39100000000000001</v>
      </c>
      <c r="K21" s="14">
        <v>0.28399999999999997</v>
      </c>
      <c r="L21" s="14">
        <v>0.39900000000000002</v>
      </c>
      <c r="M21" s="14">
        <v>-0.378</v>
      </c>
      <c r="N21" s="14">
        <v>0.113</v>
      </c>
    </row>
    <row r="22" spans="1:14" x14ac:dyDescent="0.3">
      <c r="A22" s="14">
        <v>-0.58399999999999996</v>
      </c>
      <c r="B22" s="14">
        <v>-0.223</v>
      </c>
      <c r="C22" s="14">
        <v>7.9000000000000001E-2</v>
      </c>
      <c r="D22" s="14">
        <v>0.23499999999999999</v>
      </c>
      <c r="E22" s="14">
        <v>0.48599999999999999</v>
      </c>
      <c r="F22" s="14">
        <v>0.56399999999999995</v>
      </c>
      <c r="G22" s="14">
        <v>1</v>
      </c>
      <c r="H22" s="14">
        <v>0.75900000000000001</v>
      </c>
      <c r="I22" s="14">
        <v>-7.0000000000000001E-3</v>
      </c>
      <c r="J22" s="14">
        <v>0.497</v>
      </c>
      <c r="K22" s="14">
        <v>0.59699999999999998</v>
      </c>
      <c r="L22" s="14">
        <v>0.33300000000000002</v>
      </c>
      <c r="M22" s="14">
        <v>-0.41399999999999998</v>
      </c>
      <c r="N22" s="14">
        <v>0.218</v>
      </c>
    </row>
    <row r="23" spans="1:14" x14ac:dyDescent="0.3">
      <c r="A23" s="14">
        <v>-0.33400000000000002</v>
      </c>
      <c r="B23" s="14">
        <v>-0.28499999999999998</v>
      </c>
      <c r="C23" s="14">
        <v>0.2</v>
      </c>
      <c r="D23" s="14">
        <v>0.27400000000000002</v>
      </c>
      <c r="E23" s="14">
        <v>0.19800000000000001</v>
      </c>
      <c r="F23" s="14">
        <v>0.17199999999999999</v>
      </c>
      <c r="G23" s="14">
        <v>0.75900000000000001</v>
      </c>
      <c r="H23" s="14">
        <v>1</v>
      </c>
      <c r="I23" s="14">
        <v>-6.8000000000000005E-2</v>
      </c>
      <c r="J23" s="14">
        <v>0.503</v>
      </c>
      <c r="K23" s="14">
        <v>0.38300000000000001</v>
      </c>
      <c r="L23" s="14">
        <v>8.4000000000000005E-2</v>
      </c>
      <c r="M23" s="14">
        <v>-0.44800000000000001</v>
      </c>
      <c r="N23" s="14">
        <v>0.315</v>
      </c>
    </row>
    <row r="24" spans="1:14" x14ac:dyDescent="0.3">
      <c r="A24" s="14">
        <v>5.0000000000000001E-3</v>
      </c>
      <c r="B24" s="14">
        <v>0.10199999999999999</v>
      </c>
      <c r="C24" s="14">
        <v>-0.26300000000000001</v>
      </c>
      <c r="D24" s="14">
        <v>-0.17699999999999999</v>
      </c>
      <c r="E24" s="14">
        <v>-6.3E-2</v>
      </c>
      <c r="F24" s="14">
        <v>0.29499999999999998</v>
      </c>
      <c r="G24" s="14">
        <v>-7.0000000000000001E-3</v>
      </c>
      <c r="H24" s="14">
        <v>-6.8000000000000005E-2</v>
      </c>
      <c r="I24" s="14">
        <v>1</v>
      </c>
      <c r="J24" s="14">
        <v>0.61699999999999999</v>
      </c>
      <c r="K24" s="14">
        <v>-0.22500000000000001</v>
      </c>
      <c r="L24" s="14">
        <v>0.13200000000000001</v>
      </c>
      <c r="M24" s="14">
        <v>-0.317</v>
      </c>
      <c r="N24" s="14">
        <v>-0.59199999999999997</v>
      </c>
    </row>
    <row r="25" spans="1:14" x14ac:dyDescent="0.3">
      <c r="A25" s="14">
        <v>-8.0000000000000002E-3</v>
      </c>
      <c r="B25" s="14">
        <v>-0.44900000000000001</v>
      </c>
      <c r="C25" s="14">
        <v>-0.22800000000000001</v>
      </c>
      <c r="D25" s="14">
        <v>-0.23499999999999999</v>
      </c>
      <c r="E25" s="14">
        <v>0.45500000000000002</v>
      </c>
      <c r="F25" s="14">
        <v>0.39100000000000001</v>
      </c>
      <c r="G25" s="14">
        <v>0.497</v>
      </c>
      <c r="H25" s="14">
        <v>0.503</v>
      </c>
      <c r="I25" s="14">
        <v>0.61699999999999999</v>
      </c>
      <c r="J25" s="14">
        <v>1</v>
      </c>
      <c r="K25" s="14">
        <v>0.38500000000000001</v>
      </c>
      <c r="L25" s="14">
        <v>0.53200000000000003</v>
      </c>
      <c r="M25" s="14">
        <v>-0.17199999999999999</v>
      </c>
      <c r="N25" s="14">
        <v>-0.32200000000000001</v>
      </c>
    </row>
    <row r="26" spans="1:14" x14ac:dyDescent="0.3">
      <c r="A26" s="14">
        <v>2.4E-2</v>
      </c>
      <c r="B26" s="14">
        <v>-0.57599999999999996</v>
      </c>
      <c r="C26" s="14">
        <v>-0.187</v>
      </c>
      <c r="D26" s="14">
        <v>-0.193</v>
      </c>
      <c r="E26" s="14">
        <v>0.57399999999999995</v>
      </c>
      <c r="F26" s="14">
        <v>0.28399999999999997</v>
      </c>
      <c r="G26" s="14">
        <v>0.59699999999999998</v>
      </c>
      <c r="H26" s="14">
        <v>0.38300000000000001</v>
      </c>
      <c r="I26" s="14">
        <v>-0.22500000000000001</v>
      </c>
      <c r="J26" s="14">
        <v>0.38500000000000001</v>
      </c>
      <c r="K26" s="14">
        <v>1</v>
      </c>
      <c r="L26" s="14">
        <v>0.48699999999999999</v>
      </c>
      <c r="M26" s="14">
        <v>0.31</v>
      </c>
      <c r="N26" s="14">
        <v>0.113</v>
      </c>
    </row>
    <row r="27" spans="1:14" x14ac:dyDescent="0.3">
      <c r="A27" s="14">
        <v>-0.151</v>
      </c>
      <c r="B27" s="14">
        <v>-0.46800000000000003</v>
      </c>
      <c r="C27" s="14">
        <v>0.14399999999999999</v>
      </c>
      <c r="D27" s="14">
        <v>-0.158</v>
      </c>
      <c r="E27" s="14">
        <v>0.624</v>
      </c>
      <c r="F27" s="14">
        <v>0.39900000000000002</v>
      </c>
      <c r="G27" s="14">
        <v>0.33300000000000002</v>
      </c>
      <c r="H27" s="14">
        <v>8.4000000000000005E-2</v>
      </c>
      <c r="I27" s="14">
        <v>0.13200000000000001</v>
      </c>
      <c r="J27" s="14">
        <v>0.53200000000000003</v>
      </c>
      <c r="K27" s="14">
        <v>0.48699999999999999</v>
      </c>
      <c r="L27" s="14">
        <v>1</v>
      </c>
      <c r="M27" s="14">
        <v>0.26700000000000002</v>
      </c>
      <c r="N27" s="14">
        <v>-0.129</v>
      </c>
    </row>
    <row r="28" spans="1:14" x14ac:dyDescent="0.3">
      <c r="A28" s="14">
        <v>0.378</v>
      </c>
      <c r="B28" s="14">
        <v>-0.2</v>
      </c>
      <c r="C28" s="14">
        <v>-3.4000000000000002E-2</v>
      </c>
      <c r="D28" s="14">
        <v>-0.34799999999999998</v>
      </c>
      <c r="E28" s="14">
        <v>0.17199999999999999</v>
      </c>
      <c r="F28" s="14">
        <v>-0.378</v>
      </c>
      <c r="G28" s="14">
        <v>-0.41399999999999998</v>
      </c>
      <c r="H28" s="14">
        <v>-0.44800000000000001</v>
      </c>
      <c r="I28" s="14">
        <v>-0.317</v>
      </c>
      <c r="J28" s="14">
        <v>-0.17199999999999999</v>
      </c>
      <c r="K28" s="14">
        <v>0.31</v>
      </c>
      <c r="L28" s="14">
        <v>0.26700000000000002</v>
      </c>
      <c r="M28" s="14">
        <v>1</v>
      </c>
      <c r="N28" s="14">
        <v>-0.14399999999999999</v>
      </c>
    </row>
    <row r="29" spans="1:14" x14ac:dyDescent="0.3">
      <c r="A29" s="14">
        <v>3.4000000000000002E-2</v>
      </c>
      <c r="B29" s="14">
        <v>-0.374</v>
      </c>
      <c r="C29" s="14">
        <v>0.20499999999999999</v>
      </c>
      <c r="D29" s="14">
        <v>0.33100000000000002</v>
      </c>
      <c r="E29" s="14">
        <v>0.33400000000000002</v>
      </c>
      <c r="F29" s="14">
        <v>0.113</v>
      </c>
      <c r="G29" s="14">
        <v>0.218</v>
      </c>
      <c r="H29" s="14">
        <v>0.315</v>
      </c>
      <c r="I29" s="14">
        <v>-0.59199999999999997</v>
      </c>
      <c r="J29" s="14">
        <v>-0.32200000000000001</v>
      </c>
      <c r="K29" s="14">
        <v>0.113</v>
      </c>
      <c r="L29" s="14">
        <v>-0.129</v>
      </c>
      <c r="M29" s="14">
        <v>-0.14399999999999999</v>
      </c>
      <c r="N29" s="14">
        <v>1</v>
      </c>
    </row>
    <row r="31" spans="1:14" x14ac:dyDescent="0.3">
      <c r="A31">
        <f>A1*A16</f>
        <v>0</v>
      </c>
      <c r="B31">
        <f t="shared" ref="B31:N31" si="0">B1*B16</f>
        <v>0</v>
      </c>
      <c r="C31">
        <f t="shared" si="0"/>
        <v>0</v>
      </c>
      <c r="D31">
        <f t="shared" si="0"/>
        <v>0</v>
      </c>
      <c r="E31">
        <f t="shared" si="0"/>
        <v>0</v>
      </c>
      <c r="F31">
        <f t="shared" si="0"/>
        <v>0</v>
      </c>
      <c r="G31">
        <f t="shared" si="0"/>
        <v>0</v>
      </c>
      <c r="H31">
        <f t="shared" si="0"/>
        <v>0</v>
      </c>
      <c r="I31">
        <f t="shared" si="0"/>
        <v>0</v>
      </c>
      <c r="J31">
        <f t="shared" si="0"/>
        <v>0</v>
      </c>
      <c r="K31">
        <f t="shared" si="0"/>
        <v>0</v>
      </c>
      <c r="L31">
        <f t="shared" si="0"/>
        <v>0</v>
      </c>
      <c r="M31">
        <f t="shared" si="0"/>
        <v>0</v>
      </c>
      <c r="N31">
        <f t="shared" si="0"/>
        <v>0</v>
      </c>
    </row>
    <row r="32" spans="1:14" x14ac:dyDescent="0.3">
      <c r="A32">
        <f t="shared" ref="A32:N32" si="1">A2*A17</f>
        <v>0</v>
      </c>
      <c r="B32">
        <f t="shared" si="1"/>
        <v>0</v>
      </c>
      <c r="C32">
        <f t="shared" si="1"/>
        <v>0</v>
      </c>
      <c r="D32">
        <f t="shared" si="1"/>
        <v>0</v>
      </c>
      <c r="E32">
        <f t="shared" si="1"/>
        <v>0</v>
      </c>
      <c r="F32">
        <f t="shared" si="1"/>
        <v>0</v>
      </c>
      <c r="G32">
        <f t="shared" si="1"/>
        <v>0</v>
      </c>
      <c r="H32">
        <f t="shared" si="1"/>
        <v>0</v>
      </c>
      <c r="I32">
        <f t="shared" si="1"/>
        <v>0</v>
      </c>
      <c r="J32">
        <f t="shared" si="1"/>
        <v>0</v>
      </c>
      <c r="K32">
        <f t="shared" si="1"/>
        <v>0</v>
      </c>
      <c r="L32">
        <f t="shared" si="1"/>
        <v>0</v>
      </c>
      <c r="M32">
        <f t="shared" si="1"/>
        <v>0</v>
      </c>
      <c r="N32">
        <f t="shared" si="1"/>
        <v>0</v>
      </c>
    </row>
    <row r="33" spans="1:14" x14ac:dyDescent="0.3">
      <c r="A33">
        <f t="shared" ref="A33:N33" si="2">A3*A18</f>
        <v>0</v>
      </c>
      <c r="B33">
        <f t="shared" si="2"/>
        <v>0</v>
      </c>
      <c r="C33">
        <f t="shared" si="2"/>
        <v>0</v>
      </c>
      <c r="D33">
        <f t="shared" si="2"/>
        <v>0.80400000000000005</v>
      </c>
      <c r="E33">
        <f t="shared" si="2"/>
        <v>0</v>
      </c>
      <c r="F33">
        <f t="shared" si="2"/>
        <v>0</v>
      </c>
      <c r="G33">
        <f t="shared" si="2"/>
        <v>0</v>
      </c>
      <c r="H33">
        <f t="shared" si="2"/>
        <v>0</v>
      </c>
      <c r="I33">
        <f t="shared" si="2"/>
        <v>0</v>
      </c>
      <c r="J33">
        <f t="shared" si="2"/>
        <v>0</v>
      </c>
      <c r="K33">
        <f t="shared" si="2"/>
        <v>0</v>
      </c>
      <c r="L33">
        <f t="shared" si="2"/>
        <v>0</v>
      </c>
      <c r="M33">
        <f t="shared" si="2"/>
        <v>0</v>
      </c>
      <c r="N33">
        <f t="shared" si="2"/>
        <v>0</v>
      </c>
    </row>
    <row r="34" spans="1:14" x14ac:dyDescent="0.3">
      <c r="A34">
        <f t="shared" ref="A34:N34" si="3">A4*A19</f>
        <v>0</v>
      </c>
      <c r="B34">
        <f t="shared" si="3"/>
        <v>0</v>
      </c>
      <c r="C34">
        <f t="shared" si="3"/>
        <v>0.80400000000000005</v>
      </c>
      <c r="D34">
        <f t="shared" si="3"/>
        <v>0</v>
      </c>
      <c r="E34">
        <f t="shared" si="3"/>
        <v>0</v>
      </c>
      <c r="F34">
        <f t="shared" si="3"/>
        <v>0</v>
      </c>
      <c r="G34">
        <f t="shared" si="3"/>
        <v>0</v>
      </c>
      <c r="H34">
        <f t="shared" si="3"/>
        <v>0</v>
      </c>
      <c r="I34">
        <f t="shared" si="3"/>
        <v>0</v>
      </c>
      <c r="J34">
        <f t="shared" si="3"/>
        <v>0</v>
      </c>
      <c r="K34">
        <f t="shared" si="3"/>
        <v>0</v>
      </c>
      <c r="L34">
        <f t="shared" si="3"/>
        <v>0</v>
      </c>
      <c r="M34">
        <f t="shared" si="3"/>
        <v>0</v>
      </c>
      <c r="N34">
        <f t="shared" si="3"/>
        <v>0</v>
      </c>
    </row>
    <row r="35" spans="1:14" x14ac:dyDescent="0.3">
      <c r="A35">
        <f t="shared" ref="A35:N35" si="4">A5*A20</f>
        <v>0</v>
      </c>
      <c r="B35">
        <f t="shared" si="4"/>
        <v>0</v>
      </c>
      <c r="C35">
        <f t="shared" si="4"/>
        <v>0</v>
      </c>
      <c r="D35">
        <f t="shared" si="4"/>
        <v>0</v>
      </c>
      <c r="E35">
        <f t="shared" si="4"/>
        <v>0</v>
      </c>
      <c r="F35">
        <f t="shared" si="4"/>
        <v>0</v>
      </c>
      <c r="G35">
        <f t="shared" si="4"/>
        <v>0</v>
      </c>
      <c r="H35">
        <f t="shared" si="4"/>
        <v>0</v>
      </c>
      <c r="I35">
        <f t="shared" si="4"/>
        <v>0</v>
      </c>
      <c r="J35">
        <f t="shared" si="4"/>
        <v>0</v>
      </c>
      <c r="K35">
        <f t="shared" si="4"/>
        <v>0</v>
      </c>
      <c r="L35">
        <f t="shared" si="4"/>
        <v>0</v>
      </c>
      <c r="M35">
        <f t="shared" si="4"/>
        <v>0</v>
      </c>
      <c r="N35">
        <f t="shared" si="4"/>
        <v>0</v>
      </c>
    </row>
    <row r="36" spans="1:14" x14ac:dyDescent="0.3">
      <c r="A36">
        <f t="shared" ref="A36:N36" si="5">A6*A21</f>
        <v>0</v>
      </c>
      <c r="B36">
        <f t="shared" si="5"/>
        <v>0</v>
      </c>
      <c r="C36">
        <f t="shared" si="5"/>
        <v>0</v>
      </c>
      <c r="D36">
        <f t="shared" si="5"/>
        <v>0</v>
      </c>
      <c r="E36">
        <f t="shared" si="5"/>
        <v>0</v>
      </c>
      <c r="F36">
        <f t="shared" si="5"/>
        <v>0</v>
      </c>
      <c r="G36">
        <f t="shared" si="5"/>
        <v>0</v>
      </c>
      <c r="H36">
        <f t="shared" si="5"/>
        <v>0</v>
      </c>
      <c r="I36">
        <f t="shared" si="5"/>
        <v>0</v>
      </c>
      <c r="J36">
        <f t="shared" si="5"/>
        <v>0</v>
      </c>
      <c r="K36">
        <f t="shared" si="5"/>
        <v>0</v>
      </c>
      <c r="L36">
        <f t="shared" si="5"/>
        <v>0</v>
      </c>
      <c r="M36">
        <f t="shared" si="5"/>
        <v>0</v>
      </c>
      <c r="N36">
        <f t="shared" si="5"/>
        <v>0</v>
      </c>
    </row>
    <row r="37" spans="1:14" x14ac:dyDescent="0.3">
      <c r="A37">
        <f t="shared" ref="A37:N37" si="6">A7*A22</f>
        <v>0</v>
      </c>
      <c r="B37">
        <f t="shared" si="6"/>
        <v>0</v>
      </c>
      <c r="C37">
        <f t="shared" si="6"/>
        <v>0</v>
      </c>
      <c r="D37">
        <f t="shared" si="6"/>
        <v>0</v>
      </c>
      <c r="E37">
        <f t="shared" si="6"/>
        <v>0</v>
      </c>
      <c r="F37">
        <f t="shared" si="6"/>
        <v>0</v>
      </c>
      <c r="G37">
        <f t="shared" si="6"/>
        <v>0</v>
      </c>
      <c r="H37">
        <f t="shared" si="6"/>
        <v>0.75900000000000001</v>
      </c>
      <c r="I37">
        <f t="shared" si="6"/>
        <v>0</v>
      </c>
      <c r="J37">
        <f t="shared" si="6"/>
        <v>0</v>
      </c>
      <c r="K37">
        <f t="shared" si="6"/>
        <v>0</v>
      </c>
      <c r="L37">
        <f t="shared" si="6"/>
        <v>0</v>
      </c>
      <c r="M37">
        <f t="shared" si="6"/>
        <v>0</v>
      </c>
      <c r="N37">
        <f t="shared" si="6"/>
        <v>0</v>
      </c>
    </row>
    <row r="38" spans="1:14" x14ac:dyDescent="0.3">
      <c r="A38">
        <f t="shared" ref="A38:N38" si="7">A8*A23</f>
        <v>0</v>
      </c>
      <c r="B38">
        <f t="shared" si="7"/>
        <v>0</v>
      </c>
      <c r="C38">
        <f t="shared" si="7"/>
        <v>0</v>
      </c>
      <c r="D38">
        <f t="shared" si="7"/>
        <v>0</v>
      </c>
      <c r="E38">
        <f t="shared" si="7"/>
        <v>0</v>
      </c>
      <c r="F38">
        <f t="shared" si="7"/>
        <v>0</v>
      </c>
      <c r="G38">
        <f t="shared" si="7"/>
        <v>0.75900000000000001</v>
      </c>
      <c r="H38">
        <f t="shared" si="7"/>
        <v>0</v>
      </c>
      <c r="I38">
        <f t="shared" si="7"/>
        <v>0</v>
      </c>
      <c r="J38">
        <f t="shared" si="7"/>
        <v>0</v>
      </c>
      <c r="K38">
        <f t="shared" si="7"/>
        <v>0</v>
      </c>
      <c r="L38">
        <f t="shared" si="7"/>
        <v>0</v>
      </c>
      <c r="M38">
        <f t="shared" si="7"/>
        <v>0</v>
      </c>
      <c r="N38">
        <f t="shared" si="7"/>
        <v>0</v>
      </c>
    </row>
    <row r="39" spans="1:14" x14ac:dyDescent="0.3">
      <c r="A39">
        <f t="shared" ref="A39:N39" si="8">A9*A24</f>
        <v>0</v>
      </c>
      <c r="B39">
        <f t="shared" si="8"/>
        <v>0</v>
      </c>
      <c r="C39">
        <f t="shared" si="8"/>
        <v>0</v>
      </c>
      <c r="D39">
        <f t="shared" si="8"/>
        <v>0</v>
      </c>
      <c r="E39">
        <f t="shared" si="8"/>
        <v>0</v>
      </c>
      <c r="F39">
        <f t="shared" si="8"/>
        <v>0</v>
      </c>
      <c r="G39">
        <f t="shared" si="8"/>
        <v>0</v>
      </c>
      <c r="H39">
        <f t="shared" si="8"/>
        <v>0</v>
      </c>
      <c r="I39">
        <f t="shared" si="8"/>
        <v>0</v>
      </c>
      <c r="J39">
        <f t="shared" si="8"/>
        <v>0</v>
      </c>
      <c r="K39">
        <f t="shared" si="8"/>
        <v>0</v>
      </c>
      <c r="L39">
        <f t="shared" si="8"/>
        <v>0</v>
      </c>
      <c r="M39">
        <f t="shared" si="8"/>
        <v>0</v>
      </c>
      <c r="N39">
        <f t="shared" si="8"/>
        <v>0</v>
      </c>
    </row>
    <row r="40" spans="1:14" x14ac:dyDescent="0.3">
      <c r="A40">
        <f t="shared" ref="A40:N40" si="9">A10*A25</f>
        <v>0</v>
      </c>
      <c r="B40">
        <f t="shared" si="9"/>
        <v>0</v>
      </c>
      <c r="C40">
        <f t="shared" si="9"/>
        <v>0</v>
      </c>
      <c r="D40">
        <f t="shared" si="9"/>
        <v>0</v>
      </c>
      <c r="E40">
        <f t="shared" si="9"/>
        <v>0</v>
      </c>
      <c r="F40">
        <f t="shared" si="9"/>
        <v>0</v>
      </c>
      <c r="G40">
        <f t="shared" si="9"/>
        <v>0</v>
      </c>
      <c r="H40">
        <f t="shared" si="9"/>
        <v>0</v>
      </c>
      <c r="I40">
        <f t="shared" si="9"/>
        <v>0</v>
      </c>
      <c r="J40">
        <f t="shared" si="9"/>
        <v>0</v>
      </c>
      <c r="K40">
        <f t="shared" si="9"/>
        <v>0</v>
      </c>
      <c r="L40">
        <f t="shared" si="9"/>
        <v>0</v>
      </c>
      <c r="M40">
        <f t="shared" si="9"/>
        <v>0</v>
      </c>
      <c r="N40">
        <f t="shared" si="9"/>
        <v>0</v>
      </c>
    </row>
    <row r="41" spans="1:14" x14ac:dyDescent="0.3">
      <c r="A41">
        <f t="shared" ref="A41:N41" si="10">A11*A26</f>
        <v>0</v>
      </c>
      <c r="B41">
        <f t="shared" si="10"/>
        <v>0</v>
      </c>
      <c r="C41">
        <f t="shared" si="10"/>
        <v>0</v>
      </c>
      <c r="D41">
        <f t="shared" si="10"/>
        <v>0</v>
      </c>
      <c r="E41">
        <f t="shared" si="10"/>
        <v>0</v>
      </c>
      <c r="F41">
        <f t="shared" si="10"/>
        <v>0</v>
      </c>
      <c r="G41">
        <f t="shared" si="10"/>
        <v>0</v>
      </c>
      <c r="H41">
        <f t="shared" si="10"/>
        <v>0</v>
      </c>
      <c r="I41">
        <f t="shared" si="10"/>
        <v>0</v>
      </c>
      <c r="J41">
        <f t="shared" si="10"/>
        <v>0</v>
      </c>
      <c r="K41">
        <f t="shared" si="10"/>
        <v>0</v>
      </c>
      <c r="L41">
        <f t="shared" si="10"/>
        <v>0</v>
      </c>
      <c r="M41">
        <f t="shared" si="10"/>
        <v>0</v>
      </c>
      <c r="N41">
        <f t="shared" si="10"/>
        <v>0</v>
      </c>
    </row>
    <row r="42" spans="1:14" x14ac:dyDescent="0.3">
      <c r="A42">
        <f t="shared" ref="A42:N42" si="11">A12*A27</f>
        <v>0</v>
      </c>
      <c r="B42">
        <f t="shared" si="11"/>
        <v>0</v>
      </c>
      <c r="C42">
        <f t="shared" si="11"/>
        <v>0</v>
      </c>
      <c r="D42">
        <f t="shared" si="11"/>
        <v>0</v>
      </c>
      <c r="E42">
        <f t="shared" si="11"/>
        <v>0</v>
      </c>
      <c r="F42">
        <f t="shared" si="11"/>
        <v>0</v>
      </c>
      <c r="G42">
        <f t="shared" si="11"/>
        <v>0</v>
      </c>
      <c r="H42">
        <f t="shared" si="11"/>
        <v>0</v>
      </c>
      <c r="I42">
        <f t="shared" si="11"/>
        <v>0</v>
      </c>
      <c r="J42">
        <f t="shared" si="11"/>
        <v>0</v>
      </c>
      <c r="K42">
        <f t="shared" si="11"/>
        <v>0</v>
      </c>
      <c r="L42">
        <f t="shared" si="11"/>
        <v>0</v>
      </c>
      <c r="M42">
        <f t="shared" si="11"/>
        <v>0</v>
      </c>
      <c r="N42">
        <f t="shared" si="11"/>
        <v>0</v>
      </c>
    </row>
    <row r="43" spans="1:14" x14ac:dyDescent="0.3">
      <c r="A43">
        <f t="shared" ref="A43:N43" si="12">A13*A28</f>
        <v>0</v>
      </c>
      <c r="B43">
        <f t="shared" si="12"/>
        <v>0</v>
      </c>
      <c r="C43">
        <f t="shared" si="12"/>
        <v>0</v>
      </c>
      <c r="D43">
        <f t="shared" si="12"/>
        <v>0</v>
      </c>
      <c r="E43">
        <f t="shared" si="12"/>
        <v>0</v>
      </c>
      <c r="F43">
        <f t="shared" si="12"/>
        <v>0</v>
      </c>
      <c r="G43">
        <f t="shared" si="12"/>
        <v>0</v>
      </c>
      <c r="H43">
        <f t="shared" si="12"/>
        <v>0</v>
      </c>
      <c r="I43">
        <f t="shared" si="12"/>
        <v>0</v>
      </c>
      <c r="J43">
        <f t="shared" si="12"/>
        <v>0</v>
      </c>
      <c r="K43">
        <f t="shared" si="12"/>
        <v>0</v>
      </c>
      <c r="L43">
        <f t="shared" si="12"/>
        <v>0</v>
      </c>
      <c r="M43">
        <f t="shared" si="12"/>
        <v>0</v>
      </c>
      <c r="N43">
        <f t="shared" si="12"/>
        <v>0</v>
      </c>
    </row>
    <row r="44" spans="1:14" x14ac:dyDescent="0.3">
      <c r="A44">
        <f t="shared" ref="A44:N44" si="13">A14*A29</f>
        <v>0</v>
      </c>
      <c r="B44">
        <f t="shared" si="13"/>
        <v>0</v>
      </c>
      <c r="C44">
        <f t="shared" si="13"/>
        <v>0</v>
      </c>
      <c r="D44">
        <f t="shared" si="13"/>
        <v>0</v>
      </c>
      <c r="E44">
        <f t="shared" si="13"/>
        <v>0</v>
      </c>
      <c r="F44">
        <f t="shared" si="13"/>
        <v>0</v>
      </c>
      <c r="G44">
        <f t="shared" si="13"/>
        <v>0</v>
      </c>
      <c r="H44">
        <f t="shared" si="13"/>
        <v>0</v>
      </c>
      <c r="I44">
        <f t="shared" si="13"/>
        <v>0</v>
      </c>
      <c r="J44">
        <f t="shared" si="13"/>
        <v>0</v>
      </c>
      <c r="K44">
        <f t="shared" si="13"/>
        <v>0</v>
      </c>
      <c r="L44">
        <f t="shared" si="13"/>
        <v>0</v>
      </c>
      <c r="M44">
        <f t="shared" si="13"/>
        <v>0</v>
      </c>
      <c r="N44">
        <f t="shared" si="13"/>
        <v>0</v>
      </c>
    </row>
    <row r="64" spans="1:2" x14ac:dyDescent="0.3">
      <c r="A64">
        <v>3</v>
      </c>
      <c r="B64">
        <v>4</v>
      </c>
    </row>
    <row r="65" spans="1:2" x14ac:dyDescent="0.3">
      <c r="A65">
        <v>7</v>
      </c>
      <c r="B65">
        <v>8</v>
      </c>
    </row>
    <row r="66" spans="1:2" x14ac:dyDescent="0.3">
      <c r="A66">
        <v>5</v>
      </c>
      <c r="B66">
        <v>12</v>
      </c>
    </row>
    <row r="67" spans="1:2" x14ac:dyDescent="0.3">
      <c r="A67">
        <v>9</v>
      </c>
      <c r="B67">
        <v>10</v>
      </c>
    </row>
    <row r="68" spans="1:2" x14ac:dyDescent="0.3">
      <c r="A68">
        <v>7</v>
      </c>
      <c r="B68">
        <v>11</v>
      </c>
    </row>
    <row r="69" spans="1:2" x14ac:dyDescent="0.3">
      <c r="A69">
        <v>9</v>
      </c>
      <c r="B69">
        <v>14</v>
      </c>
    </row>
    <row r="70" spans="1:2" x14ac:dyDescent="0.3">
      <c r="A70">
        <v>2</v>
      </c>
      <c r="B70">
        <v>5</v>
      </c>
    </row>
    <row r="71" spans="1:2" x14ac:dyDescent="0.3">
      <c r="A71">
        <v>1</v>
      </c>
      <c r="B71">
        <v>7</v>
      </c>
    </row>
    <row r="72" spans="1:2" x14ac:dyDescent="0.3">
      <c r="A72">
        <v>2</v>
      </c>
      <c r="B72">
        <v>11</v>
      </c>
    </row>
    <row r="73" spans="1:2" x14ac:dyDescent="0.3">
      <c r="A73">
        <v>5</v>
      </c>
      <c r="B73">
        <v>11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76038-DD53-45AC-A53C-2A4B3AD2BF0A}">
  <dimension ref="A1:N78"/>
  <sheetViews>
    <sheetView topLeftCell="A64" workbookViewId="0">
      <selection activeCell="G77" sqref="G77"/>
    </sheetView>
  </sheetViews>
  <sheetFormatPr defaultRowHeight="14" x14ac:dyDescent="0.3"/>
  <sheetData>
    <row r="1" spans="1:14" x14ac:dyDescent="0.3">
      <c r="A1" s="14">
        <v>1</v>
      </c>
      <c r="B1" s="14">
        <v>-0.443</v>
      </c>
      <c r="C1" s="14">
        <v>-0.40699999999999997</v>
      </c>
      <c r="D1" s="14">
        <v>-0.34</v>
      </c>
      <c r="E1" s="14">
        <v>1.2999999999999999E-2</v>
      </c>
      <c r="F1" s="14">
        <v>-0.14699999999999999</v>
      </c>
      <c r="G1" s="14">
        <v>-0.58399999999999996</v>
      </c>
      <c r="H1" s="14">
        <v>-0.33400000000000002</v>
      </c>
      <c r="I1" s="14">
        <v>5.0000000000000001E-3</v>
      </c>
      <c r="J1" s="14">
        <v>-8.0000000000000002E-3</v>
      </c>
      <c r="K1" s="14">
        <v>2.4E-2</v>
      </c>
      <c r="L1" s="14">
        <v>-0.151</v>
      </c>
      <c r="M1" s="14">
        <v>0.378</v>
      </c>
      <c r="N1" s="14">
        <v>3.4000000000000002E-2</v>
      </c>
    </row>
    <row r="2" spans="1:14" x14ac:dyDescent="0.3">
      <c r="A2" s="14">
        <v>-0.443</v>
      </c>
      <c r="B2" s="14">
        <v>1</v>
      </c>
      <c r="C2" s="14">
        <v>0.28399999999999997</v>
      </c>
      <c r="D2" s="14">
        <v>0.22500000000000001</v>
      </c>
      <c r="E2" s="14">
        <v>-0.59</v>
      </c>
      <c r="F2" s="14">
        <v>-0.182</v>
      </c>
      <c r="G2" s="14">
        <v>-0.223</v>
      </c>
      <c r="H2" s="14">
        <v>-0.28499999999999998</v>
      </c>
      <c r="I2" s="14">
        <v>0.10199999999999999</v>
      </c>
      <c r="J2" s="14">
        <v>-0.44900000000000001</v>
      </c>
      <c r="K2" s="14">
        <v>-0.57599999999999996</v>
      </c>
      <c r="L2" s="14">
        <v>-0.46800000000000003</v>
      </c>
      <c r="M2" s="14">
        <v>-0.2</v>
      </c>
      <c r="N2" s="14">
        <v>-0.374</v>
      </c>
    </row>
    <row r="3" spans="1:14" x14ac:dyDescent="0.3">
      <c r="A3" s="14">
        <v>-0.40699999999999997</v>
      </c>
      <c r="B3" s="14">
        <v>0.28399999999999997</v>
      </c>
      <c r="C3" s="14">
        <v>1</v>
      </c>
      <c r="D3" s="14">
        <v>0.80400000000000005</v>
      </c>
      <c r="E3" s="14">
        <v>-0.23799999999999999</v>
      </c>
      <c r="F3" s="14">
        <v>0.13400000000000001</v>
      </c>
      <c r="G3" s="14">
        <v>7.9000000000000001E-2</v>
      </c>
      <c r="H3" s="14">
        <v>0.2</v>
      </c>
      <c r="I3" s="14">
        <v>-0.26300000000000001</v>
      </c>
      <c r="J3" s="14">
        <v>-0.22800000000000001</v>
      </c>
      <c r="K3" s="14">
        <v>-0.187</v>
      </c>
      <c r="L3" s="14">
        <v>0.14399999999999999</v>
      </c>
      <c r="M3" s="14">
        <v>-3.4000000000000002E-2</v>
      </c>
      <c r="N3" s="14">
        <v>0.20499999999999999</v>
      </c>
    </row>
    <row r="4" spans="1:14" x14ac:dyDescent="0.3">
      <c r="A4" s="14">
        <v>-0.34</v>
      </c>
      <c r="B4" s="14">
        <v>0.22500000000000001</v>
      </c>
      <c r="C4" s="14">
        <v>0.80400000000000005</v>
      </c>
      <c r="D4" s="14">
        <v>1</v>
      </c>
      <c r="E4" s="14">
        <v>-0.32500000000000001</v>
      </c>
      <c r="F4" s="14">
        <v>0.371</v>
      </c>
      <c r="G4" s="14">
        <v>0.23499999999999999</v>
      </c>
      <c r="H4" s="14">
        <v>0.27400000000000002</v>
      </c>
      <c r="I4" s="14">
        <v>-0.17699999999999999</v>
      </c>
      <c r="J4" s="14">
        <v>-0.23499999999999999</v>
      </c>
      <c r="K4" s="14">
        <v>-0.193</v>
      </c>
      <c r="L4" s="14">
        <v>-0.158</v>
      </c>
      <c r="M4" s="14">
        <v>-0.34799999999999998</v>
      </c>
      <c r="N4" s="14">
        <v>0.33100000000000002</v>
      </c>
    </row>
    <row r="5" spans="1:14" x14ac:dyDescent="0.3">
      <c r="A5" s="14">
        <v>1.2999999999999999E-2</v>
      </c>
      <c r="B5" s="14">
        <v>-0.59</v>
      </c>
      <c r="C5" s="14">
        <v>-0.23799999999999999</v>
      </c>
      <c r="D5" s="14">
        <v>-0.32500000000000001</v>
      </c>
      <c r="E5" s="14">
        <v>1</v>
      </c>
      <c r="F5" s="14">
        <v>0.46899999999999997</v>
      </c>
      <c r="G5" s="14">
        <v>0.48599999999999999</v>
      </c>
      <c r="H5" s="14">
        <v>0.19800000000000001</v>
      </c>
      <c r="I5" s="14">
        <v>-6.3E-2</v>
      </c>
      <c r="J5" s="14">
        <v>0.45500000000000002</v>
      </c>
      <c r="K5" s="14">
        <v>0.57399999999999995</v>
      </c>
      <c r="L5" s="14">
        <v>0.624</v>
      </c>
      <c r="M5" s="14">
        <v>0.17199999999999999</v>
      </c>
      <c r="N5" s="14">
        <v>0.33400000000000002</v>
      </c>
    </row>
    <row r="6" spans="1:14" x14ac:dyDescent="0.3">
      <c r="A6" s="14">
        <v>-0.14699999999999999</v>
      </c>
      <c r="B6" s="14">
        <v>-0.182</v>
      </c>
      <c r="C6" s="14">
        <v>0.13400000000000001</v>
      </c>
      <c r="D6" s="14">
        <v>0.371</v>
      </c>
      <c r="E6" s="14">
        <v>0.46899999999999997</v>
      </c>
      <c r="F6" s="14">
        <v>1</v>
      </c>
      <c r="G6" s="14">
        <v>0.56399999999999995</v>
      </c>
      <c r="H6" s="14">
        <v>0.17199999999999999</v>
      </c>
      <c r="I6" s="14">
        <v>0.29499999999999998</v>
      </c>
      <c r="J6" s="14">
        <v>0.39100000000000001</v>
      </c>
      <c r="K6" s="14">
        <v>0.28399999999999997</v>
      </c>
      <c r="L6" s="14">
        <v>0.39900000000000002</v>
      </c>
      <c r="M6" s="14">
        <v>-0.378</v>
      </c>
      <c r="N6" s="14">
        <v>0.113</v>
      </c>
    </row>
    <row r="7" spans="1:14" x14ac:dyDescent="0.3">
      <c r="A7" s="14">
        <v>-0.58399999999999996</v>
      </c>
      <c r="B7" s="14">
        <v>-0.223</v>
      </c>
      <c r="C7" s="14">
        <v>7.9000000000000001E-2</v>
      </c>
      <c r="D7" s="14">
        <v>0.23499999999999999</v>
      </c>
      <c r="E7" s="14">
        <v>0.48599999999999999</v>
      </c>
      <c r="F7" s="14">
        <v>0.56399999999999995</v>
      </c>
      <c r="G7" s="14">
        <v>1</v>
      </c>
      <c r="H7" s="14">
        <v>0.75900000000000001</v>
      </c>
      <c r="I7" s="14">
        <v>-7.0000000000000001E-3</v>
      </c>
      <c r="J7" s="14">
        <v>0.497</v>
      </c>
      <c r="K7" s="14">
        <v>0.59699999999999998</v>
      </c>
      <c r="L7" s="14">
        <v>0.33300000000000002</v>
      </c>
      <c r="M7" s="14">
        <v>-0.41399999999999998</v>
      </c>
      <c r="N7" s="14">
        <v>0.218</v>
      </c>
    </row>
    <row r="8" spans="1:14" x14ac:dyDescent="0.3">
      <c r="A8" s="14">
        <v>-0.33400000000000002</v>
      </c>
      <c r="B8" s="14">
        <v>-0.28499999999999998</v>
      </c>
      <c r="C8" s="14">
        <v>0.2</v>
      </c>
      <c r="D8" s="14">
        <v>0.27400000000000002</v>
      </c>
      <c r="E8" s="14">
        <v>0.19800000000000001</v>
      </c>
      <c r="F8" s="14">
        <v>0.17199999999999999</v>
      </c>
      <c r="G8" s="14">
        <v>0.75900000000000001</v>
      </c>
      <c r="H8" s="14">
        <v>1</v>
      </c>
      <c r="I8" s="14">
        <v>-6.8000000000000005E-2</v>
      </c>
      <c r="J8" s="14">
        <v>0.503</v>
      </c>
      <c r="K8" s="14">
        <v>0.38300000000000001</v>
      </c>
      <c r="L8" s="14">
        <v>8.4000000000000005E-2</v>
      </c>
      <c r="M8" s="14">
        <v>-0.44800000000000001</v>
      </c>
      <c r="N8" s="14">
        <v>0.315</v>
      </c>
    </row>
    <row r="9" spans="1:14" x14ac:dyDescent="0.3">
      <c r="A9" s="14">
        <v>5.0000000000000001E-3</v>
      </c>
      <c r="B9" s="14">
        <v>0.10199999999999999</v>
      </c>
      <c r="C9" s="14">
        <v>-0.26300000000000001</v>
      </c>
      <c r="D9" s="14">
        <v>-0.17699999999999999</v>
      </c>
      <c r="E9" s="14">
        <v>-6.3E-2</v>
      </c>
      <c r="F9" s="14">
        <v>0.29499999999999998</v>
      </c>
      <c r="G9" s="14">
        <v>-7.0000000000000001E-3</v>
      </c>
      <c r="H9" s="14">
        <v>-6.8000000000000005E-2</v>
      </c>
      <c r="I9" s="14">
        <v>1</v>
      </c>
      <c r="J9" s="14">
        <v>0.61699999999999999</v>
      </c>
      <c r="K9" s="14">
        <v>-0.22500000000000001</v>
      </c>
      <c r="L9" s="14">
        <v>0.13200000000000001</v>
      </c>
      <c r="M9" s="14">
        <v>-0.317</v>
      </c>
      <c r="N9" s="14">
        <v>-0.59199999999999997</v>
      </c>
    </row>
    <row r="10" spans="1:14" x14ac:dyDescent="0.3">
      <c r="A10" s="14">
        <v>-8.0000000000000002E-3</v>
      </c>
      <c r="B10" s="14">
        <v>-0.44900000000000001</v>
      </c>
      <c r="C10" s="14">
        <v>-0.22800000000000001</v>
      </c>
      <c r="D10" s="14">
        <v>-0.23499999999999999</v>
      </c>
      <c r="E10" s="14">
        <v>0.45500000000000002</v>
      </c>
      <c r="F10" s="14">
        <v>0.39100000000000001</v>
      </c>
      <c r="G10" s="14">
        <v>0.497</v>
      </c>
      <c r="H10" s="14">
        <v>0.503</v>
      </c>
      <c r="I10" s="14">
        <v>0.61699999999999999</v>
      </c>
      <c r="J10" s="14">
        <v>1</v>
      </c>
      <c r="K10" s="14">
        <v>0.38500000000000001</v>
      </c>
      <c r="L10" s="14">
        <v>0.53200000000000003</v>
      </c>
      <c r="M10" s="14">
        <v>-0.17199999999999999</v>
      </c>
      <c r="N10" s="14">
        <v>-0.32200000000000001</v>
      </c>
    </row>
    <row r="11" spans="1:14" x14ac:dyDescent="0.3">
      <c r="A11" s="14">
        <v>2.4E-2</v>
      </c>
      <c r="B11" s="14">
        <v>-0.57599999999999996</v>
      </c>
      <c r="C11" s="14">
        <v>-0.187</v>
      </c>
      <c r="D11" s="14">
        <v>-0.193</v>
      </c>
      <c r="E11" s="14">
        <v>0.57399999999999995</v>
      </c>
      <c r="F11" s="14">
        <v>0.28399999999999997</v>
      </c>
      <c r="G11" s="14">
        <v>0.59699999999999998</v>
      </c>
      <c r="H11" s="14">
        <v>0.38300000000000001</v>
      </c>
      <c r="I11" s="14">
        <v>-0.22500000000000001</v>
      </c>
      <c r="J11" s="14">
        <v>0.38500000000000001</v>
      </c>
      <c r="K11" s="14">
        <v>1</v>
      </c>
      <c r="L11" s="14">
        <v>0.48699999999999999</v>
      </c>
      <c r="M11" s="14">
        <v>0.31</v>
      </c>
      <c r="N11" s="14">
        <v>0.113</v>
      </c>
    </row>
    <row r="12" spans="1:14" x14ac:dyDescent="0.3">
      <c r="A12" s="14">
        <v>-0.151</v>
      </c>
      <c r="B12" s="14">
        <v>-0.46800000000000003</v>
      </c>
      <c r="C12" s="14">
        <v>0.14399999999999999</v>
      </c>
      <c r="D12" s="14">
        <v>-0.158</v>
      </c>
      <c r="E12" s="14">
        <v>0.624</v>
      </c>
      <c r="F12" s="14">
        <v>0.39900000000000002</v>
      </c>
      <c r="G12" s="14">
        <v>0.33300000000000002</v>
      </c>
      <c r="H12" s="14">
        <v>8.4000000000000005E-2</v>
      </c>
      <c r="I12" s="14">
        <v>0.13200000000000001</v>
      </c>
      <c r="J12" s="14">
        <v>0.53200000000000003</v>
      </c>
      <c r="K12" s="14">
        <v>0.48699999999999999</v>
      </c>
      <c r="L12" s="14">
        <v>1</v>
      </c>
      <c r="M12" s="14">
        <v>0.26700000000000002</v>
      </c>
      <c r="N12" s="14">
        <v>-0.129</v>
      </c>
    </row>
    <row r="13" spans="1:14" x14ac:dyDescent="0.3">
      <c r="A13" s="14">
        <v>0.378</v>
      </c>
      <c r="B13" s="14">
        <v>-0.2</v>
      </c>
      <c r="C13" s="14">
        <v>-3.4000000000000002E-2</v>
      </c>
      <c r="D13" s="14">
        <v>-0.34799999999999998</v>
      </c>
      <c r="E13" s="14">
        <v>0.17199999999999999</v>
      </c>
      <c r="F13" s="14">
        <v>-0.378</v>
      </c>
      <c r="G13" s="14">
        <v>-0.41399999999999998</v>
      </c>
      <c r="H13" s="14">
        <v>-0.44800000000000001</v>
      </c>
      <c r="I13" s="14">
        <v>-0.317</v>
      </c>
      <c r="J13" s="14">
        <v>-0.17199999999999999</v>
      </c>
      <c r="K13" s="14">
        <v>0.31</v>
      </c>
      <c r="L13" s="14">
        <v>0.26700000000000002</v>
      </c>
      <c r="M13" s="14">
        <v>1</v>
      </c>
      <c r="N13" s="14">
        <v>-0.14399999999999999</v>
      </c>
    </row>
    <row r="14" spans="1:14" x14ac:dyDescent="0.3">
      <c r="A14" s="14">
        <v>3.4000000000000002E-2</v>
      </c>
      <c r="B14" s="14">
        <v>-0.374</v>
      </c>
      <c r="C14" s="14">
        <v>0.20499999999999999</v>
      </c>
      <c r="D14" s="14">
        <v>0.33100000000000002</v>
      </c>
      <c r="E14" s="14">
        <v>0.33400000000000002</v>
      </c>
      <c r="F14" s="14">
        <v>0.113</v>
      </c>
      <c r="G14" s="14">
        <v>0.218</v>
      </c>
      <c r="H14" s="14">
        <v>0.315</v>
      </c>
      <c r="I14" s="14">
        <v>-0.59199999999999997</v>
      </c>
      <c r="J14" s="14">
        <v>-0.32200000000000001</v>
      </c>
      <c r="K14" s="14">
        <v>0.113</v>
      </c>
      <c r="L14" s="14">
        <v>-0.129</v>
      </c>
      <c r="M14" s="14">
        <v>-0.14399999999999999</v>
      </c>
      <c r="N14" s="14">
        <v>1</v>
      </c>
    </row>
    <row r="16" spans="1:14" x14ac:dyDescent="0.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 x14ac:dyDescent="0.3">
      <c r="A17">
        <v>0</v>
      </c>
      <c r="B17">
        <v>0</v>
      </c>
      <c r="C17">
        <v>0</v>
      </c>
      <c r="D17">
        <v>0</v>
      </c>
      <c r="E17">
        <v>1</v>
      </c>
      <c r="F17">
        <v>0</v>
      </c>
      <c r="G17">
        <v>0</v>
      </c>
      <c r="H17">
        <v>0</v>
      </c>
      <c r="I17">
        <v>0</v>
      </c>
      <c r="J17">
        <v>0</v>
      </c>
      <c r="K17">
        <v>1</v>
      </c>
      <c r="L17">
        <v>0</v>
      </c>
      <c r="M17">
        <v>0</v>
      </c>
      <c r="N17">
        <v>0</v>
      </c>
    </row>
    <row r="18" spans="1:14" x14ac:dyDescent="0.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 x14ac:dyDescent="0.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4" x14ac:dyDescent="0.3">
      <c r="A20">
        <v>0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1</v>
      </c>
      <c r="M20">
        <v>0</v>
      </c>
      <c r="N20">
        <v>0</v>
      </c>
    </row>
    <row r="21" spans="1:14" x14ac:dyDescent="0.3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1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  <row r="22" spans="1:14" x14ac:dyDescent="0.3">
      <c r="A22">
        <v>1</v>
      </c>
      <c r="B22">
        <v>0</v>
      </c>
      <c r="C22">
        <v>0</v>
      </c>
      <c r="D22">
        <v>0</v>
      </c>
      <c r="E22">
        <v>0</v>
      </c>
      <c r="F22">
        <v>1</v>
      </c>
      <c r="G22">
        <v>0</v>
      </c>
      <c r="H22">
        <v>0</v>
      </c>
      <c r="I22">
        <v>0</v>
      </c>
      <c r="J22">
        <v>0</v>
      </c>
      <c r="K22">
        <v>1</v>
      </c>
      <c r="L22">
        <v>0</v>
      </c>
      <c r="M22">
        <v>0</v>
      </c>
      <c r="N22">
        <v>0</v>
      </c>
    </row>
    <row r="23" spans="1:14" x14ac:dyDescent="0.3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 spans="1:14" x14ac:dyDescent="0.3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1</v>
      </c>
      <c r="K24">
        <v>0</v>
      </c>
      <c r="L24">
        <v>0</v>
      </c>
      <c r="M24">
        <v>0</v>
      </c>
      <c r="N24">
        <v>1</v>
      </c>
    </row>
    <row r="25" spans="1:14" x14ac:dyDescent="0.3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</row>
    <row r="26" spans="1:14" x14ac:dyDescent="0.3">
      <c r="A26">
        <v>0</v>
      </c>
      <c r="B26">
        <v>1</v>
      </c>
      <c r="C26">
        <v>0</v>
      </c>
      <c r="D26">
        <v>0</v>
      </c>
      <c r="E26">
        <v>1</v>
      </c>
      <c r="F26">
        <v>0</v>
      </c>
      <c r="G26">
        <v>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 spans="1:14" x14ac:dyDescent="0.3">
      <c r="A27">
        <v>0</v>
      </c>
      <c r="B27">
        <v>0</v>
      </c>
      <c r="C27">
        <v>0</v>
      </c>
      <c r="D27">
        <v>0</v>
      </c>
      <c r="E27">
        <v>1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 spans="1:14" x14ac:dyDescent="0.3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 spans="1:14" x14ac:dyDescent="0.3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1</v>
      </c>
      <c r="J29">
        <v>0</v>
      </c>
      <c r="K29">
        <v>0</v>
      </c>
      <c r="L29">
        <v>0</v>
      </c>
      <c r="M29">
        <v>0</v>
      </c>
      <c r="N29">
        <v>0</v>
      </c>
    </row>
    <row r="31" spans="1:14" x14ac:dyDescent="0.3">
      <c r="A31">
        <f>A16*A1</f>
        <v>0</v>
      </c>
      <c r="B31">
        <f t="shared" ref="B31:N31" si="0">B16*B1</f>
        <v>0</v>
      </c>
      <c r="C31">
        <f t="shared" si="0"/>
        <v>0</v>
      </c>
      <c r="D31">
        <f t="shared" si="0"/>
        <v>0</v>
      </c>
      <c r="E31">
        <f t="shared" si="0"/>
        <v>0</v>
      </c>
      <c r="F31">
        <f t="shared" si="0"/>
        <v>0</v>
      </c>
      <c r="G31" s="23">
        <f t="shared" si="0"/>
        <v>-0.58399999999999996</v>
      </c>
      <c r="H31">
        <f t="shared" si="0"/>
        <v>0</v>
      </c>
      <c r="I31">
        <f t="shared" si="0"/>
        <v>0</v>
      </c>
      <c r="J31">
        <f t="shared" si="0"/>
        <v>0</v>
      </c>
      <c r="K31">
        <f t="shared" si="0"/>
        <v>0</v>
      </c>
      <c r="L31">
        <f t="shared" si="0"/>
        <v>0</v>
      </c>
      <c r="M31">
        <f t="shared" si="0"/>
        <v>0</v>
      </c>
      <c r="N31">
        <f t="shared" si="0"/>
        <v>0</v>
      </c>
    </row>
    <row r="32" spans="1:14" x14ac:dyDescent="0.3">
      <c r="A32">
        <f t="shared" ref="A32:N32" si="1">A17*A2</f>
        <v>0</v>
      </c>
      <c r="B32">
        <f t="shared" si="1"/>
        <v>0</v>
      </c>
      <c r="C32">
        <f t="shared" si="1"/>
        <v>0</v>
      </c>
      <c r="D32">
        <f t="shared" si="1"/>
        <v>0</v>
      </c>
      <c r="E32" s="23">
        <f t="shared" si="1"/>
        <v>-0.59</v>
      </c>
      <c r="F32">
        <f t="shared" si="1"/>
        <v>0</v>
      </c>
      <c r="G32">
        <f t="shared" si="1"/>
        <v>0</v>
      </c>
      <c r="H32">
        <f t="shared" si="1"/>
        <v>0</v>
      </c>
      <c r="I32">
        <f t="shared" si="1"/>
        <v>0</v>
      </c>
      <c r="J32">
        <f t="shared" si="1"/>
        <v>0</v>
      </c>
      <c r="K32" s="23">
        <f t="shared" si="1"/>
        <v>-0.57599999999999996</v>
      </c>
      <c r="L32">
        <f t="shared" si="1"/>
        <v>0</v>
      </c>
      <c r="M32">
        <f t="shared" si="1"/>
        <v>0</v>
      </c>
      <c r="N32">
        <f t="shared" si="1"/>
        <v>0</v>
      </c>
    </row>
    <row r="33" spans="1:14" x14ac:dyDescent="0.3">
      <c r="A33">
        <f t="shared" ref="A33:N33" si="2">A18*A3</f>
        <v>0</v>
      </c>
      <c r="B33">
        <f t="shared" si="2"/>
        <v>0</v>
      </c>
      <c r="C33">
        <f t="shared" si="2"/>
        <v>0</v>
      </c>
      <c r="D33">
        <f t="shared" si="2"/>
        <v>0</v>
      </c>
      <c r="E33">
        <f t="shared" si="2"/>
        <v>0</v>
      </c>
      <c r="F33">
        <f t="shared" si="2"/>
        <v>0</v>
      </c>
      <c r="G33">
        <f t="shared" si="2"/>
        <v>0</v>
      </c>
      <c r="H33">
        <f t="shared" si="2"/>
        <v>0</v>
      </c>
      <c r="I33">
        <f t="shared" si="2"/>
        <v>0</v>
      </c>
      <c r="J33">
        <f t="shared" si="2"/>
        <v>0</v>
      </c>
      <c r="K33">
        <f t="shared" si="2"/>
        <v>0</v>
      </c>
      <c r="L33">
        <f t="shared" si="2"/>
        <v>0</v>
      </c>
      <c r="M33">
        <f t="shared" si="2"/>
        <v>0</v>
      </c>
      <c r="N33">
        <f t="shared" si="2"/>
        <v>0</v>
      </c>
    </row>
    <row r="34" spans="1:14" x14ac:dyDescent="0.3">
      <c r="A34">
        <f t="shared" ref="A34:N34" si="3">A19*A4</f>
        <v>0</v>
      </c>
      <c r="B34">
        <f t="shared" si="3"/>
        <v>0</v>
      </c>
      <c r="C34">
        <f t="shared" si="3"/>
        <v>0</v>
      </c>
      <c r="D34">
        <f t="shared" si="3"/>
        <v>0</v>
      </c>
      <c r="E34">
        <f t="shared" si="3"/>
        <v>0</v>
      </c>
      <c r="F34">
        <f t="shared" si="3"/>
        <v>0</v>
      </c>
      <c r="G34">
        <f t="shared" si="3"/>
        <v>0</v>
      </c>
      <c r="H34">
        <f t="shared" si="3"/>
        <v>0</v>
      </c>
      <c r="I34">
        <f t="shared" si="3"/>
        <v>0</v>
      </c>
      <c r="J34">
        <f t="shared" si="3"/>
        <v>0</v>
      </c>
      <c r="K34">
        <f t="shared" si="3"/>
        <v>0</v>
      </c>
      <c r="L34">
        <f t="shared" si="3"/>
        <v>0</v>
      </c>
      <c r="M34">
        <f t="shared" si="3"/>
        <v>0</v>
      </c>
      <c r="N34">
        <f t="shared" si="3"/>
        <v>0</v>
      </c>
    </row>
    <row r="35" spans="1:14" x14ac:dyDescent="0.3">
      <c r="A35">
        <f t="shared" ref="A35:N35" si="4">A20*A5</f>
        <v>0</v>
      </c>
      <c r="B35">
        <f t="shared" si="4"/>
        <v>-0.59</v>
      </c>
      <c r="C35">
        <f t="shared" si="4"/>
        <v>0</v>
      </c>
      <c r="D35">
        <f t="shared" si="4"/>
        <v>0</v>
      </c>
      <c r="E35">
        <f t="shared" si="4"/>
        <v>0</v>
      </c>
      <c r="F35">
        <f t="shared" si="4"/>
        <v>0</v>
      </c>
      <c r="G35">
        <f t="shared" si="4"/>
        <v>0</v>
      </c>
      <c r="H35">
        <f t="shared" si="4"/>
        <v>0</v>
      </c>
      <c r="I35">
        <f t="shared" si="4"/>
        <v>0</v>
      </c>
      <c r="J35">
        <f t="shared" si="4"/>
        <v>0</v>
      </c>
      <c r="K35" s="23">
        <f t="shared" si="4"/>
        <v>0.57399999999999995</v>
      </c>
      <c r="L35" s="23">
        <f t="shared" si="4"/>
        <v>0.624</v>
      </c>
      <c r="M35">
        <f t="shared" si="4"/>
        <v>0</v>
      </c>
      <c r="N35">
        <f t="shared" si="4"/>
        <v>0</v>
      </c>
    </row>
    <row r="36" spans="1:14" x14ac:dyDescent="0.3">
      <c r="A36">
        <f t="shared" ref="A36:N36" si="5">A21*A6</f>
        <v>0</v>
      </c>
      <c r="B36">
        <f t="shared" si="5"/>
        <v>0</v>
      </c>
      <c r="C36">
        <f t="shared" si="5"/>
        <v>0</v>
      </c>
      <c r="D36">
        <f t="shared" si="5"/>
        <v>0</v>
      </c>
      <c r="E36">
        <f t="shared" si="5"/>
        <v>0</v>
      </c>
      <c r="F36">
        <f t="shared" si="5"/>
        <v>0</v>
      </c>
      <c r="G36">
        <f t="shared" si="5"/>
        <v>0.56399999999999995</v>
      </c>
      <c r="H36">
        <f t="shared" si="5"/>
        <v>0</v>
      </c>
      <c r="I36">
        <f t="shared" si="5"/>
        <v>0</v>
      </c>
      <c r="J36">
        <f t="shared" si="5"/>
        <v>0</v>
      </c>
      <c r="K36">
        <f t="shared" si="5"/>
        <v>0</v>
      </c>
      <c r="L36">
        <f t="shared" si="5"/>
        <v>0</v>
      </c>
      <c r="M36">
        <f t="shared" si="5"/>
        <v>0</v>
      </c>
      <c r="N36">
        <f t="shared" si="5"/>
        <v>0</v>
      </c>
    </row>
    <row r="37" spans="1:14" x14ac:dyDescent="0.3">
      <c r="A37">
        <f t="shared" ref="A37:N37" si="6">A22*A7</f>
        <v>-0.58399999999999996</v>
      </c>
      <c r="B37">
        <f t="shared" si="6"/>
        <v>0</v>
      </c>
      <c r="C37">
        <f t="shared" si="6"/>
        <v>0</v>
      </c>
      <c r="D37">
        <f t="shared" si="6"/>
        <v>0</v>
      </c>
      <c r="E37">
        <f t="shared" si="6"/>
        <v>0</v>
      </c>
      <c r="F37">
        <f t="shared" si="6"/>
        <v>0.56399999999999995</v>
      </c>
      <c r="G37">
        <f t="shared" si="6"/>
        <v>0</v>
      </c>
      <c r="H37">
        <f t="shared" si="6"/>
        <v>0</v>
      </c>
      <c r="I37">
        <f t="shared" si="6"/>
        <v>0</v>
      </c>
      <c r="J37">
        <f t="shared" si="6"/>
        <v>0</v>
      </c>
      <c r="K37" s="23">
        <f t="shared" si="6"/>
        <v>0.59699999999999998</v>
      </c>
      <c r="L37">
        <f t="shared" si="6"/>
        <v>0</v>
      </c>
      <c r="M37">
        <f t="shared" si="6"/>
        <v>0</v>
      </c>
      <c r="N37">
        <f t="shared" si="6"/>
        <v>0</v>
      </c>
    </row>
    <row r="38" spans="1:14" x14ac:dyDescent="0.3">
      <c r="A38">
        <f t="shared" ref="A38:N38" si="7">A23*A8</f>
        <v>0</v>
      </c>
      <c r="B38">
        <f t="shared" si="7"/>
        <v>0</v>
      </c>
      <c r="C38">
        <f t="shared" si="7"/>
        <v>0</v>
      </c>
      <c r="D38">
        <f t="shared" si="7"/>
        <v>0</v>
      </c>
      <c r="E38">
        <f t="shared" si="7"/>
        <v>0</v>
      </c>
      <c r="F38">
        <f t="shared" si="7"/>
        <v>0</v>
      </c>
      <c r="G38">
        <f t="shared" si="7"/>
        <v>0</v>
      </c>
      <c r="H38">
        <f t="shared" si="7"/>
        <v>0</v>
      </c>
      <c r="I38">
        <f t="shared" si="7"/>
        <v>0</v>
      </c>
      <c r="J38">
        <f t="shared" si="7"/>
        <v>0</v>
      </c>
      <c r="K38">
        <f t="shared" si="7"/>
        <v>0</v>
      </c>
      <c r="L38">
        <f t="shared" si="7"/>
        <v>0</v>
      </c>
      <c r="M38">
        <f t="shared" si="7"/>
        <v>0</v>
      </c>
      <c r="N38">
        <f t="shared" si="7"/>
        <v>0</v>
      </c>
    </row>
    <row r="39" spans="1:14" x14ac:dyDescent="0.3">
      <c r="A39">
        <f t="shared" ref="A39:N39" si="8">A24*A9</f>
        <v>0</v>
      </c>
      <c r="B39">
        <f t="shared" si="8"/>
        <v>0</v>
      </c>
      <c r="C39">
        <f t="shared" si="8"/>
        <v>0</v>
      </c>
      <c r="D39">
        <f t="shared" si="8"/>
        <v>0</v>
      </c>
      <c r="E39">
        <f t="shared" si="8"/>
        <v>0</v>
      </c>
      <c r="F39">
        <f t="shared" si="8"/>
        <v>0</v>
      </c>
      <c r="G39">
        <f t="shared" si="8"/>
        <v>0</v>
      </c>
      <c r="H39">
        <f t="shared" si="8"/>
        <v>0</v>
      </c>
      <c r="I39">
        <f t="shared" si="8"/>
        <v>0</v>
      </c>
      <c r="J39" s="23">
        <f t="shared" si="8"/>
        <v>0.61699999999999999</v>
      </c>
      <c r="K39">
        <f t="shared" si="8"/>
        <v>0</v>
      </c>
      <c r="L39">
        <f t="shared" si="8"/>
        <v>0</v>
      </c>
      <c r="M39">
        <f t="shared" si="8"/>
        <v>0</v>
      </c>
      <c r="N39" s="23">
        <f t="shared" si="8"/>
        <v>-0.59199999999999997</v>
      </c>
    </row>
    <row r="40" spans="1:14" x14ac:dyDescent="0.3">
      <c r="A40">
        <f t="shared" ref="A40:N40" si="9">A25*A10</f>
        <v>0</v>
      </c>
      <c r="B40">
        <f t="shared" si="9"/>
        <v>0</v>
      </c>
      <c r="C40">
        <f t="shared" si="9"/>
        <v>0</v>
      </c>
      <c r="D40">
        <f t="shared" si="9"/>
        <v>0</v>
      </c>
      <c r="E40">
        <f t="shared" si="9"/>
        <v>0</v>
      </c>
      <c r="F40">
        <f t="shared" si="9"/>
        <v>0</v>
      </c>
      <c r="G40">
        <f t="shared" si="9"/>
        <v>0</v>
      </c>
      <c r="H40">
        <f t="shared" si="9"/>
        <v>0</v>
      </c>
      <c r="I40" s="24">
        <f t="shared" si="9"/>
        <v>0.61699999999999999</v>
      </c>
      <c r="J40">
        <f t="shared" si="9"/>
        <v>0</v>
      </c>
      <c r="K40">
        <f t="shared" si="9"/>
        <v>0</v>
      </c>
      <c r="L40">
        <f t="shared" si="9"/>
        <v>0</v>
      </c>
      <c r="M40">
        <f t="shared" si="9"/>
        <v>0</v>
      </c>
      <c r="N40">
        <f t="shared" si="9"/>
        <v>0</v>
      </c>
    </row>
    <row r="41" spans="1:14" x14ac:dyDescent="0.3">
      <c r="A41">
        <f t="shared" ref="A41:N41" si="10">A26*A11</f>
        <v>0</v>
      </c>
      <c r="B41" s="24">
        <f t="shared" si="10"/>
        <v>-0.57599999999999996</v>
      </c>
      <c r="C41">
        <f t="shared" si="10"/>
        <v>0</v>
      </c>
      <c r="D41">
        <f t="shared" si="10"/>
        <v>0</v>
      </c>
      <c r="E41">
        <f t="shared" si="10"/>
        <v>0.57399999999999995</v>
      </c>
      <c r="F41">
        <f t="shared" si="10"/>
        <v>0</v>
      </c>
      <c r="G41">
        <f t="shared" si="10"/>
        <v>0.59699999999999998</v>
      </c>
      <c r="H41">
        <f t="shared" si="10"/>
        <v>0</v>
      </c>
      <c r="I41">
        <f t="shared" si="10"/>
        <v>0</v>
      </c>
      <c r="J41">
        <f t="shared" si="10"/>
        <v>0</v>
      </c>
      <c r="K41">
        <f t="shared" si="10"/>
        <v>0</v>
      </c>
      <c r="L41">
        <f t="shared" si="10"/>
        <v>0</v>
      </c>
      <c r="M41">
        <f t="shared" si="10"/>
        <v>0</v>
      </c>
      <c r="N41">
        <f t="shared" si="10"/>
        <v>0</v>
      </c>
    </row>
    <row r="42" spans="1:14" x14ac:dyDescent="0.3">
      <c r="A42">
        <f t="shared" ref="A42:N42" si="11">A27*A12</f>
        <v>0</v>
      </c>
      <c r="B42">
        <f t="shared" si="11"/>
        <v>0</v>
      </c>
      <c r="C42">
        <f t="shared" si="11"/>
        <v>0</v>
      </c>
      <c r="D42">
        <f t="shared" si="11"/>
        <v>0</v>
      </c>
      <c r="E42">
        <f t="shared" si="11"/>
        <v>0.624</v>
      </c>
      <c r="F42">
        <f t="shared" si="11"/>
        <v>0</v>
      </c>
      <c r="G42">
        <f t="shared" si="11"/>
        <v>0</v>
      </c>
      <c r="H42">
        <f t="shared" si="11"/>
        <v>0</v>
      </c>
      <c r="I42">
        <f t="shared" si="11"/>
        <v>0</v>
      </c>
      <c r="J42">
        <f t="shared" si="11"/>
        <v>0</v>
      </c>
      <c r="K42">
        <f t="shared" si="11"/>
        <v>0</v>
      </c>
      <c r="L42">
        <f t="shared" si="11"/>
        <v>0</v>
      </c>
      <c r="M42">
        <f t="shared" si="11"/>
        <v>0</v>
      </c>
      <c r="N42">
        <f t="shared" si="11"/>
        <v>0</v>
      </c>
    </row>
    <row r="43" spans="1:14" x14ac:dyDescent="0.3">
      <c r="A43">
        <f t="shared" ref="A43:N43" si="12">A28*A13</f>
        <v>0</v>
      </c>
      <c r="B43">
        <f t="shared" si="12"/>
        <v>0</v>
      </c>
      <c r="C43">
        <f t="shared" si="12"/>
        <v>0</v>
      </c>
      <c r="D43">
        <f t="shared" si="12"/>
        <v>0</v>
      </c>
      <c r="E43">
        <f t="shared" si="12"/>
        <v>0</v>
      </c>
      <c r="F43">
        <f t="shared" si="12"/>
        <v>0</v>
      </c>
      <c r="G43">
        <f t="shared" si="12"/>
        <v>0</v>
      </c>
      <c r="H43">
        <f t="shared" si="12"/>
        <v>0</v>
      </c>
      <c r="I43">
        <f t="shared" si="12"/>
        <v>0</v>
      </c>
      <c r="J43">
        <f t="shared" si="12"/>
        <v>0</v>
      </c>
      <c r="K43">
        <f t="shared" si="12"/>
        <v>0</v>
      </c>
      <c r="L43">
        <f t="shared" si="12"/>
        <v>0</v>
      </c>
      <c r="M43">
        <f t="shared" si="12"/>
        <v>0</v>
      </c>
      <c r="N43">
        <f t="shared" si="12"/>
        <v>0</v>
      </c>
    </row>
    <row r="44" spans="1:14" x14ac:dyDescent="0.3">
      <c r="A44">
        <f t="shared" ref="A44:N44" si="13">A29*A14</f>
        <v>0</v>
      </c>
      <c r="B44">
        <f t="shared" si="13"/>
        <v>0</v>
      </c>
      <c r="C44">
        <f t="shared" si="13"/>
        <v>0</v>
      </c>
      <c r="D44">
        <f t="shared" si="13"/>
        <v>0</v>
      </c>
      <c r="E44">
        <f t="shared" si="13"/>
        <v>0</v>
      </c>
      <c r="F44">
        <f t="shared" si="13"/>
        <v>0</v>
      </c>
      <c r="G44">
        <f t="shared" si="13"/>
        <v>0</v>
      </c>
      <c r="H44">
        <f t="shared" si="13"/>
        <v>0</v>
      </c>
      <c r="I44">
        <f t="shared" si="13"/>
        <v>-0.59199999999999997</v>
      </c>
      <c r="J44">
        <f t="shared" si="13"/>
        <v>0</v>
      </c>
      <c r="K44">
        <f t="shared" si="13"/>
        <v>0</v>
      </c>
      <c r="L44">
        <f t="shared" si="13"/>
        <v>0</v>
      </c>
      <c r="M44">
        <f t="shared" si="13"/>
        <v>0</v>
      </c>
      <c r="N44">
        <f t="shared" si="13"/>
        <v>0</v>
      </c>
    </row>
    <row r="47" spans="1:14" x14ac:dyDescent="0.3">
      <c r="G47">
        <v>0.624</v>
      </c>
    </row>
    <row r="48" spans="1:14" x14ac:dyDescent="0.3">
      <c r="G48">
        <v>0.61699999999999999</v>
      </c>
    </row>
    <row r="49" spans="7:7" x14ac:dyDescent="0.3">
      <c r="G49">
        <v>0.59699999999999998</v>
      </c>
    </row>
    <row r="69" spans="1:2" x14ac:dyDescent="0.3">
      <c r="A69">
        <v>1</v>
      </c>
      <c r="B69">
        <v>3</v>
      </c>
    </row>
    <row r="70" spans="1:2" x14ac:dyDescent="0.3">
      <c r="A70">
        <v>1</v>
      </c>
      <c r="B70">
        <v>5</v>
      </c>
    </row>
    <row r="71" spans="1:2" x14ac:dyDescent="0.3">
      <c r="A71">
        <v>3</v>
      </c>
      <c r="B71">
        <v>5</v>
      </c>
    </row>
    <row r="72" spans="1:2" x14ac:dyDescent="0.3">
      <c r="A72">
        <v>2</v>
      </c>
      <c r="B72">
        <v>8</v>
      </c>
    </row>
    <row r="73" spans="1:2" x14ac:dyDescent="0.3">
      <c r="A73">
        <v>4</v>
      </c>
      <c r="B73">
        <v>5</v>
      </c>
    </row>
    <row r="74" spans="1:2" x14ac:dyDescent="0.3">
      <c r="A74">
        <v>1</v>
      </c>
      <c r="B74">
        <v>4</v>
      </c>
    </row>
    <row r="75" spans="1:2" x14ac:dyDescent="0.3">
      <c r="A75">
        <v>3</v>
      </c>
      <c r="B75">
        <v>4</v>
      </c>
    </row>
    <row r="76" spans="1:2" x14ac:dyDescent="0.3">
      <c r="A76">
        <v>4</v>
      </c>
      <c r="B76">
        <v>7</v>
      </c>
    </row>
    <row r="77" spans="1:2" x14ac:dyDescent="0.3">
      <c r="A77">
        <v>6</v>
      </c>
      <c r="B77">
        <v>7</v>
      </c>
    </row>
    <row r="78" spans="1:2" x14ac:dyDescent="0.3">
      <c r="A78">
        <v>1</v>
      </c>
      <c r="B78">
        <v>8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20018-E6AF-4432-895C-F73C4A7C24CE}">
  <dimension ref="A1:P45"/>
  <sheetViews>
    <sheetView zoomScale="93" zoomScaleNormal="93" workbookViewId="0">
      <selection activeCell="G8" sqref="G8"/>
    </sheetView>
  </sheetViews>
  <sheetFormatPr defaultRowHeight="14" x14ac:dyDescent="0.3"/>
  <cols>
    <col min="3" max="3" width="10.58203125" bestFit="1" customWidth="1"/>
    <col min="4" max="4" width="11.4140625" customWidth="1"/>
    <col min="5" max="16" width="10.58203125" bestFit="1" customWidth="1"/>
  </cols>
  <sheetData>
    <row r="1" spans="1:10" x14ac:dyDescent="0.3">
      <c r="A1" s="19" t="s">
        <v>26</v>
      </c>
      <c r="B1" s="20" t="s">
        <v>27</v>
      </c>
      <c r="C1" s="20" t="s">
        <v>28</v>
      </c>
      <c r="D1" s="20" t="s">
        <v>29</v>
      </c>
      <c r="E1" s="20" t="s">
        <v>30</v>
      </c>
      <c r="F1" s="20" t="s">
        <v>31</v>
      </c>
      <c r="G1" s="20" t="s">
        <v>32</v>
      </c>
      <c r="H1" s="20" t="s">
        <v>33</v>
      </c>
    </row>
    <row r="2" spans="1:10" x14ac:dyDescent="0.3">
      <c r="A2" s="20" t="s">
        <v>27</v>
      </c>
    </row>
    <row r="3" spans="1:10" x14ac:dyDescent="0.3">
      <c r="A3" s="20" t="s">
        <v>28</v>
      </c>
      <c r="C3" s="19" t="s">
        <v>26</v>
      </c>
    </row>
    <row r="4" spans="1:10" x14ac:dyDescent="0.3">
      <c r="A4" s="20" t="s">
        <v>29</v>
      </c>
      <c r="C4" s="16">
        <v>1</v>
      </c>
      <c r="D4" s="2">
        <v>0.40579999999999999</v>
      </c>
      <c r="E4" s="2">
        <v>-1</v>
      </c>
      <c r="F4" s="2">
        <v>-0.67610000000000003</v>
      </c>
      <c r="G4" s="2">
        <v>-0.94289999999999996</v>
      </c>
      <c r="H4" s="2">
        <v>-2.86E-2</v>
      </c>
      <c r="I4" s="2">
        <v>2.86E-2</v>
      </c>
      <c r="J4" s="2">
        <v>-0.54290000000000005</v>
      </c>
    </row>
    <row r="5" spans="1:10" x14ac:dyDescent="0.3">
      <c r="A5" s="20" t="s">
        <v>30</v>
      </c>
      <c r="C5" s="16">
        <v>0.40579999999999999</v>
      </c>
      <c r="D5" s="18">
        <v>1</v>
      </c>
      <c r="E5" s="2">
        <v>-0.40579999999999999</v>
      </c>
      <c r="F5" s="2">
        <v>-0.22289999999999999</v>
      </c>
      <c r="G5" s="2">
        <v>-0.40579999999999999</v>
      </c>
      <c r="H5" s="2">
        <v>0.52180000000000004</v>
      </c>
      <c r="I5" s="2">
        <v>-0.2319</v>
      </c>
      <c r="J5" s="2">
        <v>-0.92759999999999998</v>
      </c>
    </row>
    <row r="6" spans="1:10" x14ac:dyDescent="0.3">
      <c r="A6" s="20" t="s">
        <v>31</v>
      </c>
      <c r="C6" s="16">
        <v>-1</v>
      </c>
      <c r="D6" s="2">
        <v>-0.40579999999999999</v>
      </c>
      <c r="E6" s="2">
        <v>1</v>
      </c>
      <c r="F6" s="2">
        <v>0.67610000000000003</v>
      </c>
      <c r="G6" s="2">
        <v>0.94289999999999996</v>
      </c>
      <c r="H6" s="2">
        <v>2.86E-2</v>
      </c>
      <c r="I6" s="2">
        <v>-2.86E-2</v>
      </c>
      <c r="J6" s="2">
        <v>0.54290000000000005</v>
      </c>
    </row>
    <row r="7" spans="1:10" x14ac:dyDescent="0.3">
      <c r="A7" s="20" t="s">
        <v>32</v>
      </c>
      <c r="C7" s="16">
        <v>-0.67610000000000003</v>
      </c>
      <c r="D7" s="2">
        <v>-0.22289999999999999</v>
      </c>
      <c r="E7" s="2">
        <v>0.67610000000000003</v>
      </c>
      <c r="F7" s="2">
        <v>1</v>
      </c>
      <c r="G7" s="2">
        <v>0.84519999999999995</v>
      </c>
      <c r="H7" s="2">
        <v>0.33810000000000001</v>
      </c>
      <c r="I7" s="2">
        <v>-0.67610000000000003</v>
      </c>
      <c r="J7" s="2">
        <v>0.13519999999999999</v>
      </c>
    </row>
    <row r="8" spans="1:10" ht="26" x14ac:dyDescent="0.3">
      <c r="A8" s="20" t="s">
        <v>33</v>
      </c>
      <c r="C8" s="16">
        <v>-0.94289999999999996</v>
      </c>
      <c r="D8" s="2">
        <v>-0.40579999999999999</v>
      </c>
      <c r="E8" s="2">
        <v>0.94289999999999996</v>
      </c>
      <c r="F8" s="2">
        <v>0.84519999999999995</v>
      </c>
      <c r="G8" s="2">
        <v>1</v>
      </c>
      <c r="H8" s="2">
        <v>8.5699999999999998E-2</v>
      </c>
      <c r="I8" s="2">
        <v>-0.2</v>
      </c>
      <c r="J8" s="2">
        <v>0.48570000000000002</v>
      </c>
    </row>
    <row r="9" spans="1:10" x14ac:dyDescent="0.3">
      <c r="A9" s="2"/>
      <c r="C9" s="16">
        <v>-2.86E-2</v>
      </c>
      <c r="D9" s="2">
        <v>0.52180000000000004</v>
      </c>
      <c r="E9" s="2">
        <v>2.86E-2</v>
      </c>
      <c r="F9" s="2">
        <v>0.33810000000000001</v>
      </c>
      <c r="G9" s="2">
        <v>8.5699999999999998E-2</v>
      </c>
      <c r="H9" s="2">
        <v>1</v>
      </c>
      <c r="I9" s="2">
        <v>-0.54290000000000005</v>
      </c>
      <c r="J9" s="2">
        <v>-0.48570000000000002</v>
      </c>
    </row>
    <row r="10" spans="1:10" x14ac:dyDescent="0.3">
      <c r="A10" s="2"/>
      <c r="C10" s="16">
        <v>2.86E-2</v>
      </c>
      <c r="D10" s="2">
        <v>-0.2319</v>
      </c>
      <c r="E10" s="2">
        <v>-2.86E-2</v>
      </c>
      <c r="F10" s="2">
        <v>-0.67610000000000003</v>
      </c>
      <c r="G10" s="2">
        <v>-0.2</v>
      </c>
      <c r="H10" s="2">
        <v>-0.54290000000000005</v>
      </c>
      <c r="I10" s="2">
        <v>1</v>
      </c>
      <c r="J10" s="2">
        <v>0.48570000000000002</v>
      </c>
    </row>
    <row r="11" spans="1:10" x14ac:dyDescent="0.3">
      <c r="A11" s="2"/>
      <c r="C11" s="16">
        <v>-0.54290000000000005</v>
      </c>
      <c r="D11" s="2">
        <v>-0.92759999999999998</v>
      </c>
      <c r="E11" s="2">
        <v>0.54290000000000005</v>
      </c>
      <c r="F11" s="2">
        <v>0.13519999999999999</v>
      </c>
      <c r="G11" s="2">
        <v>0.48570000000000002</v>
      </c>
      <c r="H11" s="2">
        <v>-0.48570000000000002</v>
      </c>
      <c r="I11" s="2">
        <v>0.48570000000000002</v>
      </c>
      <c r="J11" s="2">
        <v>1</v>
      </c>
    </row>
    <row r="12" spans="1:10" x14ac:dyDescent="0.3">
      <c r="A12" s="2"/>
      <c r="B12" s="15"/>
      <c r="C12" s="16"/>
    </row>
    <row r="13" spans="1:10" x14ac:dyDescent="0.3">
      <c r="A13" s="2"/>
      <c r="B13" s="15"/>
      <c r="C13" s="16"/>
    </row>
    <row r="14" spans="1:10" x14ac:dyDescent="0.3">
      <c r="A14" s="2"/>
      <c r="B14" s="15"/>
      <c r="C14" s="16"/>
    </row>
    <row r="15" spans="1:10" x14ac:dyDescent="0.3">
      <c r="A15" s="2"/>
      <c r="B15" s="15"/>
      <c r="C15" s="16" t="s">
        <v>34</v>
      </c>
    </row>
    <row r="16" spans="1:10" x14ac:dyDescent="0.3">
      <c r="A16" s="2"/>
      <c r="B16" s="15"/>
      <c r="C16" s="16">
        <v>0</v>
      </c>
      <c r="D16">
        <v>0</v>
      </c>
      <c r="E16">
        <v>1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6" x14ac:dyDescent="0.3">
      <c r="A17" s="2"/>
      <c r="B17" s="15"/>
      <c r="C17" s="16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6" x14ac:dyDescent="0.3">
      <c r="B18" s="15"/>
      <c r="C18" s="16">
        <v>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6" x14ac:dyDescent="0.3"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6" x14ac:dyDescent="0.3"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6" x14ac:dyDescent="0.3">
      <c r="C21">
        <v>0</v>
      </c>
      <c r="D21">
        <v>0</v>
      </c>
      <c r="E21">
        <v>0</v>
      </c>
      <c r="F21">
        <v>0</v>
      </c>
      <c r="G21">
        <v>0</v>
      </c>
      <c r="H21" s="17">
        <v>0</v>
      </c>
      <c r="I21">
        <v>0</v>
      </c>
      <c r="J21">
        <v>0</v>
      </c>
    </row>
    <row r="22" spans="1:16" x14ac:dyDescent="0.3"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6" x14ac:dyDescent="0.3"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/>
      <c r="L23" s="2"/>
      <c r="M23" s="2"/>
      <c r="N23" s="2"/>
      <c r="O23" s="2"/>
    </row>
    <row r="24" spans="1:16" x14ac:dyDescent="0.3">
      <c r="B24" s="2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16" x14ac:dyDescent="0.3">
      <c r="B25" s="2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 x14ac:dyDescent="0.3">
      <c r="B26" s="2"/>
      <c r="C26" s="3" t="s">
        <v>35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16" x14ac:dyDescent="0.3">
      <c r="B27" s="2"/>
      <c r="C27" s="3" t="s">
        <v>21</v>
      </c>
      <c r="D27" s="3" t="s">
        <v>21</v>
      </c>
      <c r="E27" s="3" t="s">
        <v>21</v>
      </c>
      <c r="F27" s="3" t="s">
        <v>21</v>
      </c>
      <c r="G27" s="3" t="s">
        <v>22</v>
      </c>
      <c r="H27" s="3" t="s">
        <v>21</v>
      </c>
      <c r="I27" s="3" t="s">
        <v>21</v>
      </c>
      <c r="J27" s="3" t="s">
        <v>21</v>
      </c>
      <c r="K27" s="3"/>
      <c r="L27" s="3"/>
      <c r="M27" s="3"/>
      <c r="N27" s="3"/>
      <c r="O27" s="3"/>
      <c r="P27" s="3"/>
    </row>
    <row r="28" spans="1:16" x14ac:dyDescent="0.3">
      <c r="B28" s="2"/>
      <c r="C28" s="3" t="s">
        <v>21</v>
      </c>
      <c r="D28" s="3" t="s">
        <v>21</v>
      </c>
      <c r="E28" s="3" t="s">
        <v>21</v>
      </c>
      <c r="F28" s="3" t="s">
        <v>21</v>
      </c>
      <c r="G28" s="3" t="s">
        <v>21</v>
      </c>
      <c r="H28" s="3" t="s">
        <v>21</v>
      </c>
      <c r="I28" s="3" t="s">
        <v>21</v>
      </c>
      <c r="J28" s="3" t="s">
        <v>22</v>
      </c>
      <c r="K28" s="3"/>
      <c r="L28" s="3"/>
      <c r="M28" s="3"/>
      <c r="N28" s="3"/>
      <c r="O28" s="3"/>
      <c r="P28" s="3"/>
    </row>
    <row r="29" spans="1:16" x14ac:dyDescent="0.3">
      <c r="B29" s="2"/>
      <c r="C29" s="3" t="s">
        <v>21</v>
      </c>
      <c r="D29" s="3" t="s">
        <v>21</v>
      </c>
      <c r="E29" s="3" t="s">
        <v>21</v>
      </c>
      <c r="F29" s="3" t="s">
        <v>21</v>
      </c>
      <c r="G29" s="3" t="s">
        <v>22</v>
      </c>
      <c r="H29" s="3" t="s">
        <v>21</v>
      </c>
      <c r="I29" s="3" t="s">
        <v>21</v>
      </c>
      <c r="J29" s="3" t="s">
        <v>21</v>
      </c>
      <c r="K29" s="3"/>
      <c r="L29" s="3"/>
      <c r="M29" s="3"/>
      <c r="N29" s="3"/>
      <c r="O29" s="3"/>
      <c r="P29" s="3"/>
    </row>
    <row r="30" spans="1:16" x14ac:dyDescent="0.3">
      <c r="B30" s="2"/>
      <c r="C30" s="3" t="s">
        <v>21</v>
      </c>
      <c r="D30" s="3" t="s">
        <v>21</v>
      </c>
      <c r="E30" s="3" t="s">
        <v>21</v>
      </c>
      <c r="F30" s="3" t="s">
        <v>21</v>
      </c>
      <c r="G30" s="3" t="s">
        <v>21</v>
      </c>
      <c r="H30" s="3" t="s">
        <v>21</v>
      </c>
      <c r="I30" s="3" t="s">
        <v>21</v>
      </c>
      <c r="J30" s="3" t="s">
        <v>21</v>
      </c>
      <c r="K30" s="3"/>
      <c r="L30" s="3"/>
      <c r="M30" s="3"/>
      <c r="N30" s="3"/>
      <c r="O30" s="3"/>
      <c r="P30" s="3"/>
    </row>
    <row r="31" spans="1:16" x14ac:dyDescent="0.3">
      <c r="B31" s="2"/>
      <c r="C31" s="3" t="s">
        <v>22</v>
      </c>
      <c r="D31" s="3" t="s">
        <v>21</v>
      </c>
      <c r="E31" s="3" t="s">
        <v>22</v>
      </c>
      <c r="F31" s="3" t="s">
        <v>21</v>
      </c>
      <c r="G31" s="3" t="s">
        <v>21</v>
      </c>
      <c r="H31" s="3" t="s">
        <v>21</v>
      </c>
      <c r="I31" s="3" t="s">
        <v>21</v>
      </c>
      <c r="J31" s="3" t="s">
        <v>21</v>
      </c>
      <c r="K31" s="3"/>
      <c r="L31" s="3"/>
      <c r="M31" s="3"/>
      <c r="N31" s="3"/>
      <c r="O31" s="3"/>
      <c r="P31" s="3"/>
    </row>
    <row r="32" spans="1:16" x14ac:dyDescent="0.3">
      <c r="B32" s="2"/>
      <c r="C32" s="3" t="s">
        <v>21</v>
      </c>
      <c r="D32" s="3" t="s">
        <v>21</v>
      </c>
      <c r="E32" s="3" t="s">
        <v>21</v>
      </c>
      <c r="F32" s="3" t="s">
        <v>21</v>
      </c>
      <c r="G32" s="3" t="s">
        <v>21</v>
      </c>
      <c r="H32" s="3" t="s">
        <v>21</v>
      </c>
      <c r="I32" s="3" t="s">
        <v>21</v>
      </c>
      <c r="J32" s="3" t="s">
        <v>21</v>
      </c>
      <c r="K32" s="3"/>
      <c r="L32" s="3"/>
      <c r="M32" s="3"/>
      <c r="N32" s="3"/>
      <c r="O32" s="3"/>
      <c r="P32" s="3"/>
    </row>
    <row r="33" spans="2:16" x14ac:dyDescent="0.3">
      <c r="B33" s="2"/>
      <c r="C33" s="3" t="s">
        <v>21</v>
      </c>
      <c r="D33" s="3" t="s">
        <v>21</v>
      </c>
      <c r="E33" s="3" t="s">
        <v>21</v>
      </c>
      <c r="F33" s="3" t="s">
        <v>21</v>
      </c>
      <c r="G33" s="3" t="s">
        <v>21</v>
      </c>
      <c r="H33" s="3" t="s">
        <v>21</v>
      </c>
      <c r="I33" s="3" t="s">
        <v>21</v>
      </c>
      <c r="J33" s="3" t="s">
        <v>21</v>
      </c>
      <c r="K33" s="3"/>
      <c r="L33" s="3"/>
      <c r="M33" s="3"/>
      <c r="N33" s="3"/>
      <c r="O33" s="3"/>
      <c r="P33" s="3"/>
    </row>
    <row r="34" spans="2:16" x14ac:dyDescent="0.3">
      <c r="B34" s="2"/>
      <c r="C34" s="3" t="s">
        <v>21</v>
      </c>
      <c r="D34" s="3" t="s">
        <v>22</v>
      </c>
      <c r="E34" s="3" t="s">
        <v>21</v>
      </c>
      <c r="F34" s="3" t="s">
        <v>21</v>
      </c>
      <c r="G34" s="3" t="s">
        <v>21</v>
      </c>
      <c r="H34" s="3" t="s">
        <v>21</v>
      </c>
      <c r="I34" s="3" t="s">
        <v>21</v>
      </c>
      <c r="J34" s="3" t="s">
        <v>21</v>
      </c>
      <c r="K34" s="3"/>
      <c r="L34" s="3"/>
      <c r="M34" s="3"/>
      <c r="N34" s="3"/>
      <c r="O34" s="3"/>
      <c r="P34" s="3"/>
    </row>
    <row r="35" spans="2:16" x14ac:dyDescent="0.3">
      <c r="B35" s="2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2:16" x14ac:dyDescent="0.3">
      <c r="B36" s="2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2:16" x14ac:dyDescent="0.3">
      <c r="C37" s="3" t="s">
        <v>36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2:16" x14ac:dyDescent="0.3"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2:16" x14ac:dyDescent="0.3"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2:16" x14ac:dyDescent="0.3"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2:16" x14ac:dyDescent="0.3">
      <c r="C41">
        <v>0</v>
      </c>
      <c r="D41">
        <v>0</v>
      </c>
      <c r="E41">
        <v>0</v>
      </c>
      <c r="F41">
        <v>0</v>
      </c>
      <c r="G41">
        <v>1</v>
      </c>
      <c r="H41">
        <v>0</v>
      </c>
      <c r="I41">
        <v>0</v>
      </c>
      <c r="J41">
        <v>0</v>
      </c>
    </row>
    <row r="42" spans="2:16" x14ac:dyDescent="0.3">
      <c r="C42">
        <v>0</v>
      </c>
      <c r="D42">
        <v>0</v>
      </c>
      <c r="E42">
        <v>0</v>
      </c>
      <c r="F42">
        <v>1</v>
      </c>
      <c r="G42">
        <v>0</v>
      </c>
      <c r="H42">
        <v>0</v>
      </c>
      <c r="I42">
        <v>0</v>
      </c>
      <c r="J42">
        <v>0</v>
      </c>
    </row>
    <row r="43" spans="2:16" x14ac:dyDescent="0.3"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2:16" x14ac:dyDescent="0.3"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2:16" x14ac:dyDescent="0.3"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A1AD4-7B8A-4363-B123-1B05CD4AE9D3}">
  <dimension ref="A1:P68"/>
  <sheetViews>
    <sheetView workbookViewId="0">
      <selection sqref="A1:A14"/>
    </sheetView>
  </sheetViews>
  <sheetFormatPr defaultRowHeight="14" x14ac:dyDescent="0.3"/>
  <sheetData>
    <row r="1" spans="1:16" x14ac:dyDescent="0.3">
      <c r="A1" s="2" t="s">
        <v>4</v>
      </c>
    </row>
    <row r="2" spans="1:16" x14ac:dyDescent="0.3">
      <c r="A2" s="2" t="s">
        <v>5</v>
      </c>
    </row>
    <row r="3" spans="1:16" x14ac:dyDescent="0.3">
      <c r="A3" s="2" t="s">
        <v>6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2" t="s">
        <v>16</v>
      </c>
      <c r="P3" t="s">
        <v>17</v>
      </c>
    </row>
    <row r="4" spans="1:16" x14ac:dyDescent="0.3">
      <c r="A4" s="2" t="s">
        <v>7</v>
      </c>
      <c r="C4" s="14">
        <v>1</v>
      </c>
      <c r="D4" s="14">
        <v>-7.6999999999999999E-2</v>
      </c>
      <c r="E4" s="14">
        <v>3.7999999999999999E-2</v>
      </c>
      <c r="F4" s="14">
        <v>-0.123</v>
      </c>
      <c r="G4" s="14">
        <v>0.23599999999999999</v>
      </c>
      <c r="H4" s="14">
        <v>7.0999999999999994E-2</v>
      </c>
      <c r="I4" s="14">
        <v>-3.5999999999999997E-2</v>
      </c>
      <c r="J4" s="14">
        <v>-0.39100000000000001</v>
      </c>
      <c r="K4" s="14">
        <v>-0.60199999999999998</v>
      </c>
      <c r="L4" s="14">
        <v>-0.65100000000000002</v>
      </c>
      <c r="M4" s="14">
        <v>-4.2000000000000003E-2</v>
      </c>
      <c r="N4" s="14">
        <v>-0.39700000000000002</v>
      </c>
      <c r="O4" s="14">
        <v>-0.224</v>
      </c>
      <c r="P4" s="14">
        <v>6.4000000000000001E-2</v>
      </c>
    </row>
    <row r="5" spans="1:16" x14ac:dyDescent="0.3">
      <c r="A5" s="2" t="s">
        <v>8</v>
      </c>
      <c r="C5" s="14">
        <v>-7.6999999999999999E-2</v>
      </c>
      <c r="D5" s="14">
        <v>1</v>
      </c>
      <c r="E5" s="14">
        <v>-4.9000000000000002E-2</v>
      </c>
      <c r="F5" s="14">
        <v>-0.11600000000000001</v>
      </c>
      <c r="G5" s="14">
        <v>0.13400000000000001</v>
      </c>
      <c r="H5" s="14">
        <v>5.7000000000000002E-2</v>
      </c>
      <c r="I5" s="14">
        <v>-0.41899999999999998</v>
      </c>
      <c r="J5" s="14">
        <v>0.33700000000000002</v>
      </c>
      <c r="K5" s="14">
        <v>-0.17299999999999999</v>
      </c>
      <c r="L5" s="14">
        <v>0.27700000000000002</v>
      </c>
      <c r="M5" s="14">
        <v>-0.67500000000000004</v>
      </c>
      <c r="N5" s="14">
        <v>5.8000000000000003E-2</v>
      </c>
      <c r="O5" s="14">
        <v>-0.32100000000000001</v>
      </c>
      <c r="P5" s="14">
        <v>-0.17699999999999999</v>
      </c>
    </row>
    <row r="6" spans="1:16" x14ac:dyDescent="0.3">
      <c r="A6" s="2" t="s">
        <v>9</v>
      </c>
      <c r="C6" s="14">
        <v>3.7999999999999999E-2</v>
      </c>
      <c r="D6" s="14">
        <v>-4.9000000000000002E-2</v>
      </c>
      <c r="E6" s="14">
        <v>1</v>
      </c>
      <c r="F6" s="14">
        <v>-2E-3</v>
      </c>
      <c r="G6" s="14">
        <v>0.42299999999999999</v>
      </c>
      <c r="H6" s="14">
        <v>0.61799999999999999</v>
      </c>
      <c r="I6" s="14">
        <v>0.13</v>
      </c>
      <c r="J6" s="14">
        <v>-2.3E-2</v>
      </c>
      <c r="K6" s="14">
        <v>-0.23699999999999999</v>
      </c>
      <c r="L6" s="14">
        <v>-2.5999999999999999E-2</v>
      </c>
      <c r="M6" s="14">
        <v>-7.2999999999999995E-2</v>
      </c>
      <c r="N6" s="14">
        <v>-4.2999999999999997E-2</v>
      </c>
      <c r="O6" s="14">
        <v>0.14699999999999999</v>
      </c>
      <c r="P6" s="14">
        <v>9.9000000000000005E-2</v>
      </c>
    </row>
    <row r="7" spans="1:16" x14ac:dyDescent="0.3">
      <c r="A7" s="2" t="s">
        <v>10</v>
      </c>
      <c r="C7" s="14">
        <v>-0.123</v>
      </c>
      <c r="D7" s="14">
        <v>-0.11600000000000001</v>
      </c>
      <c r="E7" s="14">
        <v>-2E-3</v>
      </c>
      <c r="F7" s="14">
        <v>1</v>
      </c>
      <c r="G7" s="14">
        <v>9.6000000000000002E-2</v>
      </c>
      <c r="H7" s="14">
        <v>0.28299999999999997</v>
      </c>
      <c r="I7" s="14">
        <v>0.34899999999999998</v>
      </c>
      <c r="J7" s="14">
        <v>-0.47299999999999998</v>
      </c>
      <c r="K7" s="14">
        <v>0.19400000000000001</v>
      </c>
      <c r="L7" s="14">
        <v>-0.379</v>
      </c>
      <c r="M7" s="14">
        <v>0.19500000000000001</v>
      </c>
      <c r="N7" s="14">
        <v>0.28999999999999998</v>
      </c>
      <c r="O7" s="14">
        <v>0.496</v>
      </c>
      <c r="P7" s="14">
        <v>6.4000000000000001E-2</v>
      </c>
    </row>
    <row r="8" spans="1:16" x14ac:dyDescent="0.3">
      <c r="A8" s="2" t="s">
        <v>11</v>
      </c>
      <c r="C8" s="14">
        <v>0.23599999999999999</v>
      </c>
      <c r="D8" s="14">
        <v>0.13400000000000001</v>
      </c>
      <c r="E8" s="14">
        <v>0.42299999999999999</v>
      </c>
      <c r="F8" s="14">
        <v>9.6000000000000002E-2</v>
      </c>
      <c r="G8" s="14">
        <v>1</v>
      </c>
      <c r="H8" s="14">
        <v>0.54300000000000004</v>
      </c>
      <c r="I8" s="14">
        <v>-0.13500000000000001</v>
      </c>
      <c r="J8" s="14">
        <v>-7.8E-2</v>
      </c>
      <c r="K8" s="14">
        <v>-0.16900000000000001</v>
      </c>
      <c r="L8" s="14">
        <v>-0.20300000000000001</v>
      </c>
      <c r="M8" s="14">
        <v>-0.17</v>
      </c>
      <c r="N8" s="14">
        <v>0.184</v>
      </c>
      <c r="O8" s="14">
        <v>7.5999999999999998E-2</v>
      </c>
      <c r="P8" s="14">
        <v>-0.246</v>
      </c>
    </row>
    <row r="9" spans="1:16" x14ac:dyDescent="0.3">
      <c r="A9" s="2" t="s">
        <v>12</v>
      </c>
      <c r="C9" s="14">
        <v>7.0999999999999994E-2</v>
      </c>
      <c r="D9" s="14">
        <v>5.7000000000000002E-2</v>
      </c>
      <c r="E9" s="14">
        <v>0.61799999999999999</v>
      </c>
      <c r="F9" s="14">
        <v>0.28299999999999997</v>
      </c>
      <c r="G9" s="14">
        <v>0.54300000000000004</v>
      </c>
      <c r="H9" s="14">
        <v>1</v>
      </c>
      <c r="I9" s="14">
        <v>0.186</v>
      </c>
      <c r="J9" s="14">
        <v>-0.14599999999999999</v>
      </c>
      <c r="K9" s="14">
        <v>-0.41499999999999998</v>
      </c>
      <c r="L9" s="14">
        <v>-0.14099999999999999</v>
      </c>
      <c r="M9" s="14">
        <v>-0.02</v>
      </c>
      <c r="N9" s="14">
        <v>6.0000000000000001E-3</v>
      </c>
      <c r="O9" s="14">
        <v>9.1999999999999998E-2</v>
      </c>
      <c r="P9" s="14">
        <v>-0.129</v>
      </c>
    </row>
    <row r="10" spans="1:16" x14ac:dyDescent="0.3">
      <c r="A10" s="2" t="s">
        <v>13</v>
      </c>
      <c r="C10" s="14">
        <v>-3.5999999999999997E-2</v>
      </c>
      <c r="D10" s="14">
        <v>-0.41899999999999998</v>
      </c>
      <c r="E10" s="14">
        <v>0.13</v>
      </c>
      <c r="F10" s="14">
        <v>0.34899999999999998</v>
      </c>
      <c r="G10" s="14">
        <v>-0.13500000000000001</v>
      </c>
      <c r="H10" s="14">
        <v>0.186</v>
      </c>
      <c r="I10" s="14">
        <v>1</v>
      </c>
      <c r="J10" s="14">
        <v>-0.51400000000000001</v>
      </c>
      <c r="K10" s="14">
        <v>4.9000000000000002E-2</v>
      </c>
      <c r="L10" s="14">
        <v>-0.34399999999999997</v>
      </c>
      <c r="M10" s="14">
        <v>0.36499999999999999</v>
      </c>
      <c r="N10" s="14">
        <v>-5.1999999999999998E-2</v>
      </c>
      <c r="O10" s="14">
        <v>0.45400000000000001</v>
      </c>
      <c r="P10" s="14">
        <v>-0.191</v>
      </c>
    </row>
    <row r="11" spans="1:16" x14ac:dyDescent="0.3">
      <c r="A11" s="2" t="s">
        <v>14</v>
      </c>
      <c r="C11" s="14">
        <v>-0.39100000000000001</v>
      </c>
      <c r="D11" s="14">
        <v>0.33700000000000002</v>
      </c>
      <c r="E11" s="14">
        <v>-2.3E-2</v>
      </c>
      <c r="F11" s="14">
        <v>-0.47299999999999998</v>
      </c>
      <c r="G11" s="14">
        <v>-7.8E-2</v>
      </c>
      <c r="H11" s="14">
        <v>-0.14599999999999999</v>
      </c>
      <c r="I11" s="14">
        <v>-0.51400000000000001</v>
      </c>
      <c r="J11" s="14">
        <v>1</v>
      </c>
      <c r="K11" s="14">
        <v>-0.111</v>
      </c>
      <c r="L11" s="14">
        <v>0.55200000000000005</v>
      </c>
      <c r="M11" s="14">
        <v>-1.0999999999999999E-2</v>
      </c>
      <c r="N11" s="14">
        <v>8.1000000000000003E-2</v>
      </c>
      <c r="O11" s="14">
        <v>-0.54900000000000004</v>
      </c>
      <c r="P11" s="14">
        <v>0.28899999999999998</v>
      </c>
    </row>
    <row r="12" spans="1:16" x14ac:dyDescent="0.3">
      <c r="A12" s="2" t="s">
        <v>15</v>
      </c>
      <c r="C12" s="14">
        <v>-0.60199999999999998</v>
      </c>
      <c r="D12" s="14">
        <v>-0.17299999999999999</v>
      </c>
      <c r="E12" s="14">
        <v>-0.23699999999999999</v>
      </c>
      <c r="F12" s="14">
        <v>0.19400000000000001</v>
      </c>
      <c r="G12" s="14">
        <v>-0.16900000000000001</v>
      </c>
      <c r="H12" s="14">
        <v>-0.41499999999999998</v>
      </c>
      <c r="I12" s="14">
        <v>4.9000000000000002E-2</v>
      </c>
      <c r="J12" s="14">
        <v>-0.111</v>
      </c>
      <c r="K12" s="14">
        <v>1</v>
      </c>
      <c r="L12" s="14">
        <v>0.17</v>
      </c>
      <c r="M12" s="14">
        <v>0.111</v>
      </c>
      <c r="N12" s="14">
        <v>0.32700000000000001</v>
      </c>
      <c r="O12" s="14">
        <v>0.371</v>
      </c>
      <c r="P12" s="14">
        <v>-6.4000000000000001E-2</v>
      </c>
    </row>
    <row r="13" spans="1:16" x14ac:dyDescent="0.3">
      <c r="A13" s="2" t="s">
        <v>16</v>
      </c>
      <c r="C13" s="14">
        <v>-0.65100000000000002</v>
      </c>
      <c r="D13" s="14">
        <v>0.27700000000000002</v>
      </c>
      <c r="E13" s="14">
        <v>-2.5999999999999999E-2</v>
      </c>
      <c r="F13" s="14">
        <v>-0.379</v>
      </c>
      <c r="G13" s="14">
        <v>-0.20300000000000001</v>
      </c>
      <c r="H13" s="14">
        <v>-0.14099999999999999</v>
      </c>
      <c r="I13" s="14">
        <v>-0.34399999999999997</v>
      </c>
      <c r="J13" s="14">
        <v>0.55200000000000005</v>
      </c>
      <c r="K13" s="14">
        <v>0.17</v>
      </c>
      <c r="L13" s="14">
        <v>1</v>
      </c>
      <c r="M13" s="14">
        <v>-0.316</v>
      </c>
      <c r="N13" s="14">
        <v>0.34</v>
      </c>
      <c r="O13" s="14">
        <v>2.1999999999999999E-2</v>
      </c>
      <c r="P13" s="14">
        <v>0.129</v>
      </c>
    </row>
    <row r="14" spans="1:16" x14ac:dyDescent="0.3">
      <c r="A14" t="s">
        <v>17</v>
      </c>
      <c r="C14" s="14">
        <v>-4.2000000000000003E-2</v>
      </c>
      <c r="D14" s="14">
        <v>-0.67500000000000004</v>
      </c>
      <c r="E14" s="14">
        <v>-7.2999999999999995E-2</v>
      </c>
      <c r="F14" s="14">
        <v>0.19500000000000001</v>
      </c>
      <c r="G14" s="14">
        <v>-0.17</v>
      </c>
      <c r="H14" s="14">
        <v>-0.02</v>
      </c>
      <c r="I14" s="14">
        <v>0.36499999999999999</v>
      </c>
      <c r="J14" s="14">
        <v>-1.0999999999999999E-2</v>
      </c>
      <c r="K14" s="14">
        <v>0.111</v>
      </c>
      <c r="L14" s="14">
        <v>-0.316</v>
      </c>
      <c r="M14" s="14">
        <v>1</v>
      </c>
      <c r="N14" s="14">
        <v>-0.13300000000000001</v>
      </c>
      <c r="O14" s="14">
        <v>5.0999999999999997E-2</v>
      </c>
      <c r="P14" s="14">
        <v>0.22700000000000001</v>
      </c>
    </row>
    <row r="15" spans="1:16" x14ac:dyDescent="0.3">
      <c r="C15" s="14">
        <v>-0.39700000000000002</v>
      </c>
      <c r="D15" s="14">
        <v>5.8000000000000003E-2</v>
      </c>
      <c r="E15" s="14">
        <v>-4.2999999999999997E-2</v>
      </c>
      <c r="F15" s="14">
        <v>0.28999999999999998</v>
      </c>
      <c r="G15" s="14">
        <v>0.184</v>
      </c>
      <c r="H15" s="14">
        <v>6.0000000000000001E-3</v>
      </c>
      <c r="I15" s="14">
        <v>-5.1999999999999998E-2</v>
      </c>
      <c r="J15" s="14">
        <v>8.1000000000000003E-2</v>
      </c>
      <c r="K15" s="14">
        <v>0.32700000000000001</v>
      </c>
      <c r="L15" s="14">
        <v>0.34</v>
      </c>
      <c r="M15" s="14">
        <v>-0.13300000000000001</v>
      </c>
      <c r="N15" s="14">
        <v>1</v>
      </c>
      <c r="O15" s="14">
        <v>0.23</v>
      </c>
      <c r="P15" s="14">
        <v>0.13</v>
      </c>
    </row>
    <row r="16" spans="1:16" x14ac:dyDescent="0.3">
      <c r="C16" s="14">
        <v>-0.224</v>
      </c>
      <c r="D16" s="14">
        <v>-0.32100000000000001</v>
      </c>
      <c r="E16" s="14">
        <v>0.14699999999999999</v>
      </c>
      <c r="F16" s="14">
        <v>0.496</v>
      </c>
      <c r="G16" s="14">
        <v>7.5999999999999998E-2</v>
      </c>
      <c r="H16" s="14">
        <v>9.1999999999999998E-2</v>
      </c>
      <c r="I16" s="14">
        <v>0.45400000000000001</v>
      </c>
      <c r="J16" s="14">
        <v>-0.54900000000000004</v>
      </c>
      <c r="K16" s="14">
        <v>0.371</v>
      </c>
      <c r="L16" s="14">
        <v>2.1999999999999999E-2</v>
      </c>
      <c r="M16" s="14">
        <v>5.0999999999999997E-2</v>
      </c>
      <c r="N16" s="14">
        <v>0.23</v>
      </c>
      <c r="O16" s="14">
        <v>1</v>
      </c>
      <c r="P16" s="14">
        <v>-8.2000000000000003E-2</v>
      </c>
    </row>
    <row r="17" spans="3:16" x14ac:dyDescent="0.3">
      <c r="C17" s="14">
        <v>6.4000000000000001E-2</v>
      </c>
      <c r="D17" s="14">
        <v>-0.17699999999999999</v>
      </c>
      <c r="E17" s="14">
        <v>9.9000000000000005E-2</v>
      </c>
      <c r="F17" s="14">
        <v>6.4000000000000001E-2</v>
      </c>
      <c r="G17" s="14">
        <v>-0.246</v>
      </c>
      <c r="H17" s="14">
        <v>-0.129</v>
      </c>
      <c r="I17" s="14">
        <v>-0.191</v>
      </c>
      <c r="J17" s="14">
        <v>0.28899999999999998</v>
      </c>
      <c r="K17" s="14">
        <v>-6.4000000000000001E-2</v>
      </c>
      <c r="L17" s="14">
        <v>0.129</v>
      </c>
      <c r="M17" s="14">
        <v>0.22700000000000001</v>
      </c>
      <c r="N17" s="14">
        <v>0.13</v>
      </c>
      <c r="O17" s="14">
        <v>-8.2000000000000003E-2</v>
      </c>
      <c r="P17" s="14">
        <v>1</v>
      </c>
    </row>
    <row r="20" spans="3:16" x14ac:dyDescent="0.3">
      <c r="C20" s="3" t="s">
        <v>18</v>
      </c>
    </row>
    <row r="21" spans="3:16" x14ac:dyDescent="0.3"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1</v>
      </c>
      <c r="L21">
        <v>1</v>
      </c>
      <c r="M21">
        <v>0</v>
      </c>
      <c r="N21">
        <v>0</v>
      </c>
      <c r="O21">
        <v>0</v>
      </c>
      <c r="P21">
        <v>0</v>
      </c>
    </row>
    <row r="22" spans="3:16" x14ac:dyDescent="0.3"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1</v>
      </c>
      <c r="N22">
        <v>0</v>
      </c>
      <c r="O22">
        <v>0</v>
      </c>
      <c r="P22">
        <v>0</v>
      </c>
    </row>
    <row r="23" spans="3:16" x14ac:dyDescent="0.3">
      <c r="C23">
        <v>0</v>
      </c>
      <c r="D23">
        <v>0</v>
      </c>
      <c r="E23">
        <v>0</v>
      </c>
      <c r="F23">
        <v>0</v>
      </c>
      <c r="G23">
        <v>0</v>
      </c>
      <c r="H23">
        <v>1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</row>
    <row r="24" spans="3:16" x14ac:dyDescent="0.3"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</row>
    <row r="25" spans="3:16" x14ac:dyDescent="0.3">
      <c r="C25">
        <v>0</v>
      </c>
      <c r="D25">
        <v>0</v>
      </c>
      <c r="E25">
        <v>0</v>
      </c>
      <c r="F25">
        <v>0</v>
      </c>
      <c r="G25">
        <v>0</v>
      </c>
      <c r="H25">
        <v>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</row>
    <row r="26" spans="3:16" x14ac:dyDescent="0.3">
      <c r="C26">
        <v>0</v>
      </c>
      <c r="D26">
        <v>0</v>
      </c>
      <c r="E26">
        <v>1</v>
      </c>
      <c r="F26">
        <v>0</v>
      </c>
      <c r="G26">
        <v>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</row>
    <row r="27" spans="3:16" x14ac:dyDescent="0.3"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</row>
    <row r="28" spans="3:16" x14ac:dyDescent="0.3"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</v>
      </c>
      <c r="M28">
        <v>0</v>
      </c>
      <c r="N28">
        <v>0</v>
      </c>
      <c r="O28">
        <v>1</v>
      </c>
      <c r="P28">
        <v>0</v>
      </c>
    </row>
    <row r="29" spans="3:16" x14ac:dyDescent="0.3">
      <c r="C29">
        <v>1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</row>
    <row r="30" spans="3:16" x14ac:dyDescent="0.3">
      <c r="C30">
        <v>1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</row>
    <row r="31" spans="3:16" x14ac:dyDescent="0.3">
      <c r="C31">
        <v>0</v>
      </c>
      <c r="D31">
        <v>1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</row>
    <row r="32" spans="3:16" x14ac:dyDescent="0.3"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</row>
    <row r="33" spans="3:16" x14ac:dyDescent="0.3"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</row>
    <row r="34" spans="3:16" x14ac:dyDescent="0.3"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</row>
    <row r="37" spans="3:16" x14ac:dyDescent="0.3">
      <c r="C37" s="3" t="s">
        <v>19</v>
      </c>
    </row>
    <row r="38" spans="3:16" x14ac:dyDescent="0.3"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</row>
    <row r="39" spans="3:16" x14ac:dyDescent="0.3"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1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</row>
    <row r="40" spans="3:16" x14ac:dyDescent="0.3">
      <c r="C40">
        <v>0</v>
      </c>
      <c r="D40">
        <v>0</v>
      </c>
      <c r="E40">
        <v>0</v>
      </c>
      <c r="F40">
        <v>0</v>
      </c>
      <c r="G40">
        <v>1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</row>
    <row r="41" spans="3:16" x14ac:dyDescent="0.3"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1</v>
      </c>
      <c r="K41">
        <v>0</v>
      </c>
      <c r="L41">
        <v>0</v>
      </c>
      <c r="M41">
        <v>0</v>
      </c>
      <c r="N41">
        <v>0</v>
      </c>
      <c r="O41">
        <v>1</v>
      </c>
      <c r="P41">
        <v>0</v>
      </c>
    </row>
    <row r="42" spans="3:16" x14ac:dyDescent="0.3">
      <c r="C42">
        <v>0</v>
      </c>
      <c r="D42">
        <v>0</v>
      </c>
      <c r="E42">
        <v>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</row>
    <row r="43" spans="3:16" x14ac:dyDescent="0.3"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1</v>
      </c>
      <c r="L43">
        <v>0</v>
      </c>
      <c r="M43">
        <v>0</v>
      </c>
      <c r="N43">
        <v>0</v>
      </c>
      <c r="O43">
        <v>0</v>
      </c>
      <c r="P43">
        <v>0</v>
      </c>
    </row>
    <row r="44" spans="3:16" x14ac:dyDescent="0.3">
      <c r="C44">
        <v>0</v>
      </c>
      <c r="D44">
        <v>1</v>
      </c>
      <c r="E44">
        <v>0</v>
      </c>
      <c r="F44">
        <v>0</v>
      </c>
      <c r="G44">
        <v>0</v>
      </c>
      <c r="H44">
        <v>0</v>
      </c>
      <c r="I44">
        <v>0</v>
      </c>
      <c r="J44">
        <v>1</v>
      </c>
      <c r="K44">
        <v>0</v>
      </c>
      <c r="L44">
        <v>0</v>
      </c>
      <c r="M44">
        <v>0</v>
      </c>
      <c r="N44">
        <v>0</v>
      </c>
      <c r="O44">
        <v>1</v>
      </c>
      <c r="P44">
        <v>0</v>
      </c>
    </row>
    <row r="45" spans="3:16" x14ac:dyDescent="0.3">
      <c r="C45">
        <v>0</v>
      </c>
      <c r="D45">
        <v>0</v>
      </c>
      <c r="E45">
        <v>0</v>
      </c>
      <c r="F45">
        <v>1</v>
      </c>
      <c r="G45">
        <v>0</v>
      </c>
      <c r="H45">
        <v>0</v>
      </c>
      <c r="I45">
        <v>1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</row>
    <row r="46" spans="3:16" x14ac:dyDescent="0.3">
      <c r="C46">
        <v>0</v>
      </c>
      <c r="D46">
        <v>0</v>
      </c>
      <c r="E46">
        <v>0</v>
      </c>
      <c r="F46">
        <v>0</v>
      </c>
      <c r="G46">
        <v>0</v>
      </c>
      <c r="H46">
        <v>1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</row>
    <row r="47" spans="3:16" x14ac:dyDescent="0.3"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</row>
    <row r="48" spans="3:16" x14ac:dyDescent="0.3"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</row>
    <row r="49" spans="3:16" x14ac:dyDescent="0.3"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</row>
    <row r="50" spans="3:16" x14ac:dyDescent="0.3">
      <c r="C50">
        <v>0</v>
      </c>
      <c r="D50">
        <v>0</v>
      </c>
      <c r="E50">
        <v>0</v>
      </c>
      <c r="F50">
        <v>1</v>
      </c>
      <c r="G50">
        <v>0</v>
      </c>
      <c r="H50">
        <v>0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</row>
    <row r="51" spans="3:16" x14ac:dyDescent="0.3"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</row>
    <row r="54" spans="3:16" x14ac:dyDescent="0.3">
      <c r="C54" s="3" t="s">
        <v>19</v>
      </c>
    </row>
    <row r="55" spans="3:16" x14ac:dyDescent="0.3"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</v>
      </c>
      <c r="K55">
        <v>0</v>
      </c>
      <c r="L55">
        <v>0</v>
      </c>
      <c r="M55">
        <v>0</v>
      </c>
      <c r="N55">
        <v>1</v>
      </c>
      <c r="O55">
        <v>0</v>
      </c>
      <c r="P55">
        <v>0</v>
      </c>
    </row>
    <row r="56" spans="3:16" x14ac:dyDescent="0.3"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</row>
    <row r="57" spans="3:16" x14ac:dyDescent="0.3"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</row>
    <row r="58" spans="3:16" x14ac:dyDescent="0.3"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</v>
      </c>
      <c r="M58">
        <v>0</v>
      </c>
      <c r="N58">
        <v>0</v>
      </c>
      <c r="O58">
        <v>0</v>
      </c>
      <c r="P58">
        <v>0</v>
      </c>
    </row>
    <row r="59" spans="3:16" x14ac:dyDescent="0.3"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</row>
    <row r="60" spans="3:16" x14ac:dyDescent="0.3"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</row>
    <row r="61" spans="3:16" x14ac:dyDescent="0.3"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</v>
      </c>
      <c r="N61">
        <v>0</v>
      </c>
      <c r="O61">
        <v>0</v>
      </c>
      <c r="P61">
        <v>0</v>
      </c>
    </row>
    <row r="62" spans="3:16" x14ac:dyDescent="0.3">
      <c r="C62">
        <v>1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</row>
    <row r="63" spans="3:16" x14ac:dyDescent="0.3"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1</v>
      </c>
      <c r="P63">
        <v>0</v>
      </c>
    </row>
    <row r="64" spans="3:16" x14ac:dyDescent="0.3">
      <c r="C64">
        <v>0</v>
      </c>
      <c r="D64">
        <v>0</v>
      </c>
      <c r="E64">
        <v>0</v>
      </c>
      <c r="F64">
        <v>1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3:16" x14ac:dyDescent="0.3"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3:16" x14ac:dyDescent="0.3">
      <c r="C66">
        <v>1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3:16" x14ac:dyDescent="0.3"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1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3:16" x14ac:dyDescent="0.3"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F2571-6D39-4037-82B8-8069F83388F2}">
  <dimension ref="B4:P68"/>
  <sheetViews>
    <sheetView tabSelected="1" topLeftCell="A16" workbookViewId="0">
      <selection activeCell="J34" sqref="J34"/>
    </sheetView>
  </sheetViews>
  <sheetFormatPr defaultRowHeight="14" x14ac:dyDescent="0.3"/>
  <sheetData>
    <row r="4" spans="2:16" x14ac:dyDescent="0.3"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  <c r="P4" t="s">
        <v>17</v>
      </c>
    </row>
    <row r="5" spans="2:16" x14ac:dyDescent="0.3">
      <c r="B5" s="2" t="s">
        <v>4</v>
      </c>
      <c r="C5" s="14">
        <v>1</v>
      </c>
      <c r="D5" s="14">
        <v>0.46899999999999997</v>
      </c>
      <c r="E5" s="14">
        <v>0.32900000000000001</v>
      </c>
      <c r="F5" s="14">
        <v>-0.28499999999999998</v>
      </c>
      <c r="G5" s="14">
        <v>8.5999999999999993E-2</v>
      </c>
      <c r="H5" s="14">
        <v>0.38900000000000001</v>
      </c>
      <c r="I5" s="14">
        <v>0.314</v>
      </c>
      <c r="J5" s="14">
        <v>-0.32700000000000001</v>
      </c>
      <c r="K5" s="14">
        <v>-0.16900000000000001</v>
      </c>
      <c r="L5" s="14">
        <v>-0.14299999999999999</v>
      </c>
      <c r="M5" s="14">
        <v>-0.19800000000000001</v>
      </c>
      <c r="N5" s="14">
        <v>-0.66700000000000004</v>
      </c>
      <c r="O5" s="14">
        <v>0.24</v>
      </c>
      <c r="P5" s="14">
        <v>-0.496</v>
      </c>
    </row>
    <row r="6" spans="2:16" x14ac:dyDescent="0.3">
      <c r="B6" s="2" t="s">
        <v>5</v>
      </c>
      <c r="C6" s="14">
        <v>0.46899999999999997</v>
      </c>
      <c r="D6" s="14">
        <v>1</v>
      </c>
      <c r="E6" s="14">
        <v>5.1999999999999998E-2</v>
      </c>
      <c r="F6" s="14">
        <v>-0.376</v>
      </c>
      <c r="G6" s="14">
        <v>-9.5000000000000001E-2</v>
      </c>
      <c r="H6" s="14">
        <v>-2.4E-2</v>
      </c>
      <c r="I6" s="14">
        <v>6.3E-2</v>
      </c>
      <c r="J6" s="14">
        <v>-0.46100000000000002</v>
      </c>
      <c r="K6" s="14">
        <v>-3.9E-2</v>
      </c>
      <c r="L6" s="14">
        <v>7.0000000000000007E-2</v>
      </c>
      <c r="M6" s="14">
        <v>-0.378</v>
      </c>
      <c r="N6" s="14">
        <v>-0.16800000000000001</v>
      </c>
      <c r="O6" s="14">
        <v>0.24299999999999999</v>
      </c>
      <c r="P6" s="14">
        <v>-0.18</v>
      </c>
    </row>
    <row r="7" spans="2:16" x14ac:dyDescent="0.3">
      <c r="B7" s="2" t="s">
        <v>6</v>
      </c>
      <c r="C7" s="14">
        <v>0.32900000000000001</v>
      </c>
      <c r="D7" s="14">
        <v>5.1999999999999998E-2</v>
      </c>
      <c r="E7" s="14">
        <v>1</v>
      </c>
      <c r="F7" s="14">
        <v>9.7000000000000003E-2</v>
      </c>
      <c r="G7" s="14">
        <v>0.29099999999999998</v>
      </c>
      <c r="H7" s="14">
        <v>0.32600000000000001</v>
      </c>
      <c r="I7" s="14">
        <v>0.22</v>
      </c>
      <c r="J7" s="14">
        <v>-0.19600000000000001</v>
      </c>
      <c r="K7" s="14">
        <v>-0.20300000000000001</v>
      </c>
      <c r="L7" s="14">
        <v>3.1E-2</v>
      </c>
      <c r="M7" s="14">
        <v>-3.9E-2</v>
      </c>
      <c r="N7" s="14">
        <v>-0.11</v>
      </c>
      <c r="O7" s="14">
        <v>0.09</v>
      </c>
      <c r="P7" s="14">
        <v>-2.1000000000000001E-2</v>
      </c>
    </row>
    <row r="8" spans="2:16" x14ac:dyDescent="0.3">
      <c r="B8" s="2" t="s">
        <v>7</v>
      </c>
      <c r="C8" s="14">
        <v>-0.28499999999999998</v>
      </c>
      <c r="D8" s="14">
        <v>-0.376</v>
      </c>
      <c r="E8" s="14">
        <v>9.7000000000000003E-2</v>
      </c>
      <c r="F8" s="14">
        <v>1</v>
      </c>
      <c r="G8" s="14">
        <v>0.63600000000000001</v>
      </c>
      <c r="H8" s="14">
        <v>0.36599999999999999</v>
      </c>
      <c r="I8" s="14">
        <v>0.49099999999999999</v>
      </c>
      <c r="J8" s="14">
        <v>0.13500000000000001</v>
      </c>
      <c r="K8" s="14">
        <v>-0.15</v>
      </c>
      <c r="L8" s="14">
        <v>-0.24099999999999999</v>
      </c>
      <c r="M8" s="14">
        <v>0.505</v>
      </c>
      <c r="N8" s="14">
        <v>0.14399999999999999</v>
      </c>
      <c r="O8" s="14">
        <v>0.129</v>
      </c>
      <c r="P8" s="14">
        <v>-5.5E-2</v>
      </c>
    </row>
    <row r="9" spans="2:16" x14ac:dyDescent="0.3">
      <c r="B9" s="2" t="s">
        <v>8</v>
      </c>
      <c r="C9" s="14">
        <v>8.5999999999999993E-2</v>
      </c>
      <c r="D9" s="14">
        <v>-9.5000000000000001E-2</v>
      </c>
      <c r="E9" s="14">
        <v>0.29099999999999998</v>
      </c>
      <c r="F9" s="14">
        <v>0.63600000000000001</v>
      </c>
      <c r="G9" s="14">
        <v>1</v>
      </c>
      <c r="H9" s="14">
        <v>0.81399999999999995</v>
      </c>
      <c r="I9" s="14">
        <v>0.626</v>
      </c>
      <c r="J9" s="14">
        <v>-0.316</v>
      </c>
      <c r="K9" s="14">
        <v>3.1E-2</v>
      </c>
      <c r="L9" s="14">
        <v>-0.63100000000000001</v>
      </c>
      <c r="M9" s="14">
        <v>0.48599999999999999</v>
      </c>
      <c r="N9" s="14">
        <v>6.4000000000000001E-2</v>
      </c>
      <c r="O9" s="14">
        <v>0.38300000000000001</v>
      </c>
      <c r="P9" s="14">
        <v>-0.441</v>
      </c>
    </row>
    <row r="10" spans="2:16" x14ac:dyDescent="0.3">
      <c r="B10" s="2" t="s">
        <v>9</v>
      </c>
      <c r="C10" s="14">
        <v>0.38900000000000001</v>
      </c>
      <c r="D10" s="14">
        <v>-2.4E-2</v>
      </c>
      <c r="E10" s="14">
        <v>0.32600000000000001</v>
      </c>
      <c r="F10" s="14">
        <v>0.36599999999999999</v>
      </c>
      <c r="G10" s="14">
        <v>0.81399999999999995</v>
      </c>
      <c r="H10" s="14">
        <v>1</v>
      </c>
      <c r="I10" s="14">
        <v>0.60299999999999998</v>
      </c>
      <c r="J10" s="14">
        <v>-0.215</v>
      </c>
      <c r="K10" s="14">
        <v>-8.7999999999999995E-2</v>
      </c>
      <c r="L10" s="14">
        <v>-0.53700000000000003</v>
      </c>
      <c r="M10" s="14">
        <v>0.38900000000000001</v>
      </c>
      <c r="N10" s="14">
        <v>-0.16600000000000001</v>
      </c>
      <c r="O10" s="14">
        <v>0.42499999999999999</v>
      </c>
      <c r="P10" s="14">
        <v>-0.47799999999999998</v>
      </c>
    </row>
    <row r="11" spans="2:16" x14ac:dyDescent="0.3">
      <c r="B11" s="2" t="s">
        <v>10</v>
      </c>
      <c r="C11" s="14">
        <v>0.314</v>
      </c>
      <c r="D11" s="14">
        <v>6.3E-2</v>
      </c>
      <c r="E11" s="14">
        <v>0.22</v>
      </c>
      <c r="F11" s="14">
        <v>0.49099999999999999</v>
      </c>
      <c r="G11" s="14">
        <v>0.626</v>
      </c>
      <c r="H11" s="14">
        <v>0.60299999999999998</v>
      </c>
      <c r="I11" s="14">
        <v>1</v>
      </c>
      <c r="J11" s="14">
        <v>-0.34499999999999997</v>
      </c>
      <c r="K11" s="14">
        <v>2.1000000000000001E-2</v>
      </c>
      <c r="L11" s="14">
        <v>-0.53500000000000003</v>
      </c>
      <c r="M11" s="14">
        <v>0.21099999999999999</v>
      </c>
      <c r="N11" s="14">
        <v>-0.21</v>
      </c>
      <c r="O11" s="14">
        <v>0.27600000000000002</v>
      </c>
      <c r="P11" s="14">
        <v>-0.46600000000000003</v>
      </c>
    </row>
    <row r="12" spans="2:16" x14ac:dyDescent="0.3">
      <c r="B12" s="2" t="s">
        <v>11</v>
      </c>
      <c r="C12" s="14">
        <v>-0.32700000000000001</v>
      </c>
      <c r="D12" s="14">
        <v>-0.46100000000000002</v>
      </c>
      <c r="E12" s="14">
        <v>-0.19600000000000001</v>
      </c>
      <c r="F12" s="14">
        <v>0.13500000000000001</v>
      </c>
      <c r="G12" s="14">
        <v>-0.316</v>
      </c>
      <c r="H12" s="14">
        <v>-0.215</v>
      </c>
      <c r="I12" s="14">
        <v>-0.34499999999999997</v>
      </c>
      <c r="J12" s="14">
        <v>1</v>
      </c>
      <c r="K12" s="14">
        <v>-0.33800000000000002</v>
      </c>
      <c r="L12" s="14">
        <v>0.41</v>
      </c>
      <c r="M12" s="14">
        <v>0.192</v>
      </c>
      <c r="N12" s="14">
        <v>7.1999999999999995E-2</v>
      </c>
      <c r="O12" s="14">
        <v>-0.19400000000000001</v>
      </c>
      <c r="P12" s="14">
        <v>0.54300000000000004</v>
      </c>
    </row>
    <row r="13" spans="2:16" x14ac:dyDescent="0.3">
      <c r="B13" s="2" t="s">
        <v>12</v>
      </c>
      <c r="C13" s="14">
        <v>-0.16900000000000001</v>
      </c>
      <c r="D13" s="14">
        <v>-3.9E-2</v>
      </c>
      <c r="E13" s="14">
        <v>-0.20300000000000001</v>
      </c>
      <c r="F13" s="14">
        <v>-0.15</v>
      </c>
      <c r="G13" s="14">
        <v>3.1E-2</v>
      </c>
      <c r="H13" s="14">
        <v>-8.7999999999999995E-2</v>
      </c>
      <c r="I13" s="14">
        <v>2.1000000000000001E-2</v>
      </c>
      <c r="J13" s="14">
        <v>-0.33800000000000002</v>
      </c>
      <c r="K13" s="14">
        <v>1</v>
      </c>
      <c r="L13" s="14">
        <v>-0.58499999999999996</v>
      </c>
      <c r="M13" s="14">
        <v>-0.23300000000000001</v>
      </c>
      <c r="N13" s="14">
        <v>0.28799999999999998</v>
      </c>
      <c r="O13" s="14">
        <v>-0.33300000000000002</v>
      </c>
      <c r="P13" s="14">
        <v>-0.50600000000000001</v>
      </c>
    </row>
    <row r="14" spans="2:16" x14ac:dyDescent="0.3">
      <c r="B14" s="2" t="s">
        <v>13</v>
      </c>
      <c r="C14" s="14">
        <v>-0.14299999999999999</v>
      </c>
      <c r="D14" s="14">
        <v>7.0000000000000007E-2</v>
      </c>
      <c r="E14" s="14">
        <v>3.1E-2</v>
      </c>
      <c r="F14" s="14">
        <v>-0.24099999999999999</v>
      </c>
      <c r="G14" s="14">
        <v>-0.63100000000000001</v>
      </c>
      <c r="H14" s="14">
        <v>-0.53700000000000003</v>
      </c>
      <c r="I14" s="14">
        <v>-0.53500000000000003</v>
      </c>
      <c r="J14" s="14">
        <v>0.41</v>
      </c>
      <c r="K14" s="14">
        <v>-0.58499999999999996</v>
      </c>
      <c r="L14" s="14">
        <v>1</v>
      </c>
      <c r="M14" s="14">
        <v>-0.32500000000000001</v>
      </c>
      <c r="N14" s="14">
        <v>-0.09</v>
      </c>
      <c r="O14" s="14">
        <v>-4.1000000000000002E-2</v>
      </c>
      <c r="P14" s="14">
        <v>0.624</v>
      </c>
    </row>
    <row r="15" spans="2:16" x14ac:dyDescent="0.3">
      <c r="B15" s="2" t="s">
        <v>14</v>
      </c>
      <c r="C15" s="14">
        <v>-0.19800000000000001</v>
      </c>
      <c r="D15" s="14">
        <v>-0.378</v>
      </c>
      <c r="E15" s="14">
        <v>-3.9E-2</v>
      </c>
      <c r="F15" s="14">
        <v>0.505</v>
      </c>
      <c r="G15" s="14">
        <v>0.48599999999999999</v>
      </c>
      <c r="H15" s="14">
        <v>0.38900000000000001</v>
      </c>
      <c r="I15" s="14">
        <v>0.21099999999999999</v>
      </c>
      <c r="J15" s="14">
        <v>0.192</v>
      </c>
      <c r="K15" s="14">
        <v>-0.23300000000000001</v>
      </c>
      <c r="L15" s="14">
        <v>-0.32500000000000001</v>
      </c>
      <c r="M15" s="14">
        <v>1</v>
      </c>
      <c r="N15" s="14">
        <v>0.17699999999999999</v>
      </c>
      <c r="O15" s="14">
        <v>-4.8000000000000001E-2</v>
      </c>
      <c r="P15" s="14">
        <v>2.5999999999999999E-2</v>
      </c>
    </row>
    <row r="16" spans="2:16" x14ac:dyDescent="0.3">
      <c r="B16" s="2" t="s">
        <v>15</v>
      </c>
      <c r="C16" s="14">
        <v>-0.66700000000000004</v>
      </c>
      <c r="D16" s="14">
        <v>-0.16800000000000001</v>
      </c>
      <c r="E16" s="14">
        <v>-0.11</v>
      </c>
      <c r="F16" s="14">
        <v>0.14399999999999999</v>
      </c>
      <c r="G16" s="14">
        <v>6.4000000000000001E-2</v>
      </c>
      <c r="H16" s="14">
        <v>-0.16600000000000001</v>
      </c>
      <c r="I16" s="14">
        <v>-0.21</v>
      </c>
      <c r="J16" s="14">
        <v>7.1999999999999995E-2</v>
      </c>
      <c r="K16" s="14">
        <v>0.28799999999999998</v>
      </c>
      <c r="L16" s="14">
        <v>-0.09</v>
      </c>
      <c r="M16" s="14">
        <v>0.17699999999999999</v>
      </c>
      <c r="N16" s="14">
        <v>1</v>
      </c>
      <c r="O16" s="14">
        <v>-0.11799999999999999</v>
      </c>
      <c r="P16" s="14">
        <v>0.17699999999999999</v>
      </c>
    </row>
    <row r="17" spans="2:16" x14ac:dyDescent="0.3">
      <c r="B17" s="2" t="s">
        <v>16</v>
      </c>
      <c r="C17" s="14">
        <v>0.24</v>
      </c>
      <c r="D17" s="14">
        <v>0.24299999999999999</v>
      </c>
      <c r="E17" s="14">
        <v>0.09</v>
      </c>
      <c r="F17" s="14">
        <v>0.129</v>
      </c>
      <c r="G17" s="14">
        <v>0.38300000000000001</v>
      </c>
      <c r="H17" s="14">
        <v>0.42499999999999999</v>
      </c>
      <c r="I17" s="14">
        <v>0.27600000000000002</v>
      </c>
      <c r="J17" s="14">
        <v>-0.19400000000000001</v>
      </c>
      <c r="K17" s="14">
        <v>-0.33300000000000002</v>
      </c>
      <c r="L17" s="14">
        <v>-4.1000000000000002E-2</v>
      </c>
      <c r="M17" s="14">
        <v>-4.8000000000000001E-2</v>
      </c>
      <c r="N17" s="14">
        <v>-0.11799999999999999</v>
      </c>
      <c r="O17" s="14">
        <v>1</v>
      </c>
      <c r="P17" s="14">
        <v>-0.122</v>
      </c>
    </row>
    <row r="18" spans="2:16" x14ac:dyDescent="0.3">
      <c r="B18" t="s">
        <v>17</v>
      </c>
      <c r="C18" s="14">
        <v>-0.496</v>
      </c>
      <c r="D18" s="14">
        <v>-0.18</v>
      </c>
      <c r="E18" s="14">
        <v>-2.1000000000000001E-2</v>
      </c>
      <c r="F18" s="14">
        <v>-5.5E-2</v>
      </c>
      <c r="G18" s="14">
        <v>-0.441</v>
      </c>
      <c r="H18" s="14">
        <v>-0.47799999999999998</v>
      </c>
      <c r="I18" s="14">
        <v>-0.46600000000000003</v>
      </c>
      <c r="J18" s="14">
        <v>0.54300000000000004</v>
      </c>
      <c r="K18" s="14">
        <v>-0.50600000000000001</v>
      </c>
      <c r="L18" s="14">
        <v>0.624</v>
      </c>
      <c r="M18" s="14">
        <v>2.5999999999999999E-2</v>
      </c>
      <c r="N18" s="14">
        <v>0.17699999999999999</v>
      </c>
      <c r="O18" s="14">
        <v>-0.122</v>
      </c>
      <c r="P18" s="14">
        <v>1</v>
      </c>
    </row>
    <row r="21" spans="2:16" x14ac:dyDescent="0.3">
      <c r="C21" t="s">
        <v>23</v>
      </c>
    </row>
    <row r="22" spans="2:16" x14ac:dyDescent="0.3"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1</v>
      </c>
      <c r="O22">
        <v>0</v>
      </c>
      <c r="P22">
        <v>1</v>
      </c>
    </row>
    <row r="23" spans="2:16" x14ac:dyDescent="0.3"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</row>
    <row r="24" spans="2:16" x14ac:dyDescent="0.3"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</row>
    <row r="25" spans="2:16" x14ac:dyDescent="0.3">
      <c r="C25">
        <v>0</v>
      </c>
      <c r="D25">
        <v>0</v>
      </c>
      <c r="E25">
        <v>0</v>
      </c>
      <c r="F25">
        <v>0</v>
      </c>
      <c r="G25">
        <v>1</v>
      </c>
      <c r="H25">
        <v>0</v>
      </c>
      <c r="I25">
        <v>0</v>
      </c>
      <c r="J25">
        <v>0</v>
      </c>
      <c r="K25">
        <v>0</v>
      </c>
      <c r="L25">
        <v>0</v>
      </c>
      <c r="M25">
        <v>1</v>
      </c>
      <c r="N25">
        <v>0</v>
      </c>
      <c r="O25">
        <v>0</v>
      </c>
      <c r="P25">
        <v>0</v>
      </c>
    </row>
    <row r="26" spans="2:16" x14ac:dyDescent="0.3">
      <c r="C26">
        <v>0</v>
      </c>
      <c r="D26">
        <v>0</v>
      </c>
      <c r="E26">
        <v>0</v>
      </c>
      <c r="F26">
        <v>1</v>
      </c>
      <c r="G26">
        <v>0</v>
      </c>
      <c r="H26">
        <v>1</v>
      </c>
      <c r="I26">
        <v>1</v>
      </c>
      <c r="J26">
        <v>0</v>
      </c>
      <c r="K26">
        <v>0</v>
      </c>
      <c r="L26">
        <v>1</v>
      </c>
      <c r="M26">
        <v>0</v>
      </c>
      <c r="N26">
        <v>0</v>
      </c>
      <c r="O26">
        <v>0</v>
      </c>
      <c r="P26">
        <v>0</v>
      </c>
    </row>
    <row r="27" spans="2:16" x14ac:dyDescent="0.3">
      <c r="C27">
        <v>0</v>
      </c>
      <c r="D27">
        <v>0</v>
      </c>
      <c r="E27">
        <v>0</v>
      </c>
      <c r="F27">
        <v>0</v>
      </c>
      <c r="G27">
        <v>1</v>
      </c>
      <c r="H27">
        <v>0</v>
      </c>
      <c r="I27">
        <v>1</v>
      </c>
      <c r="J27">
        <v>0</v>
      </c>
      <c r="K27">
        <v>0</v>
      </c>
      <c r="L27">
        <v>1</v>
      </c>
      <c r="M27">
        <v>0</v>
      </c>
      <c r="N27">
        <v>0</v>
      </c>
      <c r="O27">
        <v>0</v>
      </c>
      <c r="P27">
        <v>0</v>
      </c>
    </row>
    <row r="28" spans="2:16" x14ac:dyDescent="0.3">
      <c r="C28">
        <v>0</v>
      </c>
      <c r="D28">
        <v>0</v>
      </c>
      <c r="E28">
        <v>0</v>
      </c>
      <c r="F28">
        <v>0</v>
      </c>
      <c r="G28">
        <v>1</v>
      </c>
      <c r="H28">
        <v>1</v>
      </c>
      <c r="I28">
        <v>0</v>
      </c>
      <c r="J28">
        <v>0</v>
      </c>
      <c r="K28">
        <v>0</v>
      </c>
      <c r="L28">
        <v>1</v>
      </c>
      <c r="M28">
        <v>0</v>
      </c>
      <c r="N28">
        <v>0</v>
      </c>
      <c r="O28">
        <v>0</v>
      </c>
      <c r="P28">
        <v>0</v>
      </c>
    </row>
    <row r="29" spans="2:16" x14ac:dyDescent="0.3"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</v>
      </c>
    </row>
    <row r="30" spans="2:16" x14ac:dyDescent="0.3"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1</v>
      </c>
      <c r="M30">
        <v>0</v>
      </c>
      <c r="N30">
        <v>0</v>
      </c>
      <c r="O30">
        <v>0</v>
      </c>
      <c r="P30">
        <v>1</v>
      </c>
    </row>
    <row r="31" spans="2:16" x14ac:dyDescent="0.3">
      <c r="C31">
        <v>0</v>
      </c>
      <c r="D31">
        <v>0</v>
      </c>
      <c r="E31">
        <v>0</v>
      </c>
      <c r="F31">
        <v>0</v>
      </c>
      <c r="G31">
        <v>1</v>
      </c>
      <c r="H31">
        <v>1</v>
      </c>
      <c r="I31">
        <v>1</v>
      </c>
      <c r="J31">
        <v>0</v>
      </c>
      <c r="K31">
        <v>1</v>
      </c>
      <c r="L31">
        <v>0</v>
      </c>
      <c r="M31">
        <v>0</v>
      </c>
      <c r="N31">
        <v>0</v>
      </c>
      <c r="O31">
        <v>0</v>
      </c>
      <c r="P31">
        <v>1</v>
      </c>
    </row>
    <row r="32" spans="2:16" x14ac:dyDescent="0.3">
      <c r="C32">
        <v>0</v>
      </c>
      <c r="D32">
        <v>0</v>
      </c>
      <c r="E32">
        <v>0</v>
      </c>
      <c r="F32">
        <v>1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</row>
    <row r="33" spans="3:16" x14ac:dyDescent="0.3">
      <c r="C33">
        <v>1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</row>
    <row r="34" spans="3:16" x14ac:dyDescent="0.3"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</row>
    <row r="35" spans="3:16" x14ac:dyDescent="0.3">
      <c r="C35">
        <v>1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1</v>
      </c>
      <c r="K35">
        <v>1</v>
      </c>
      <c r="L35">
        <v>1</v>
      </c>
      <c r="M35">
        <v>0</v>
      </c>
      <c r="N35">
        <v>0</v>
      </c>
      <c r="O35">
        <v>0</v>
      </c>
      <c r="P35">
        <v>0</v>
      </c>
    </row>
    <row r="38" spans="3:16" x14ac:dyDescent="0.3">
      <c r="C38" t="s">
        <v>24</v>
      </c>
    </row>
    <row r="39" spans="3:16" x14ac:dyDescent="0.3">
      <c r="C39">
        <v>0</v>
      </c>
      <c r="D39">
        <v>1</v>
      </c>
      <c r="E39">
        <v>0</v>
      </c>
      <c r="F39">
        <v>0</v>
      </c>
      <c r="G39">
        <v>0</v>
      </c>
      <c r="H39">
        <v>1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</row>
    <row r="40" spans="3:16" x14ac:dyDescent="0.3">
      <c r="C40">
        <v>1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</row>
    <row r="41" spans="3:16" x14ac:dyDescent="0.3"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</row>
    <row r="42" spans="3:16" x14ac:dyDescent="0.3"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1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</row>
    <row r="43" spans="3:16" x14ac:dyDescent="0.3"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1</v>
      </c>
      <c r="N43">
        <v>0</v>
      </c>
      <c r="O43">
        <v>0</v>
      </c>
      <c r="P43">
        <v>1</v>
      </c>
    </row>
    <row r="44" spans="3:16" x14ac:dyDescent="0.3">
      <c r="C44">
        <v>1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1</v>
      </c>
      <c r="N44">
        <v>0</v>
      </c>
      <c r="O44">
        <v>1</v>
      </c>
      <c r="P44">
        <v>1</v>
      </c>
    </row>
    <row r="45" spans="3:16" x14ac:dyDescent="0.3">
      <c r="C45">
        <v>0</v>
      </c>
      <c r="D45">
        <v>0</v>
      </c>
      <c r="E45">
        <v>0</v>
      </c>
      <c r="F45">
        <v>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</v>
      </c>
    </row>
    <row r="46" spans="3:16" x14ac:dyDescent="0.3">
      <c r="C46">
        <v>0</v>
      </c>
      <c r="D46">
        <v>1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</v>
      </c>
      <c r="M46">
        <v>0</v>
      </c>
      <c r="N46">
        <v>0</v>
      </c>
      <c r="O46">
        <v>0</v>
      </c>
      <c r="P46">
        <v>0</v>
      </c>
    </row>
    <row r="47" spans="3:16" x14ac:dyDescent="0.3"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</row>
    <row r="48" spans="3:16" x14ac:dyDescent="0.3"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1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</row>
    <row r="49" spans="3:16" x14ac:dyDescent="0.3">
      <c r="C49">
        <v>0</v>
      </c>
      <c r="D49">
        <v>0</v>
      </c>
      <c r="E49">
        <v>0</v>
      </c>
      <c r="F49">
        <v>0</v>
      </c>
      <c r="G49">
        <v>1</v>
      </c>
      <c r="H49">
        <v>1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</row>
    <row r="50" spans="3:16" x14ac:dyDescent="0.3"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</row>
    <row r="51" spans="3:16" x14ac:dyDescent="0.3">
      <c r="C51">
        <v>0</v>
      </c>
      <c r="D51">
        <v>0</v>
      </c>
      <c r="E51">
        <v>0</v>
      </c>
      <c r="F51">
        <v>0</v>
      </c>
      <c r="G51">
        <v>0</v>
      </c>
      <c r="H51">
        <v>1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</row>
    <row r="52" spans="3:16" x14ac:dyDescent="0.3">
      <c r="C52">
        <v>0</v>
      </c>
      <c r="D52">
        <v>0</v>
      </c>
      <c r="E52">
        <v>0</v>
      </c>
      <c r="F52">
        <v>0</v>
      </c>
      <c r="G52">
        <v>1</v>
      </c>
      <c r="H52">
        <v>1</v>
      </c>
      <c r="I52">
        <v>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</row>
    <row r="54" spans="3:16" x14ac:dyDescent="0.3">
      <c r="C54" t="s">
        <v>25</v>
      </c>
    </row>
    <row r="55" spans="3:16" x14ac:dyDescent="0.3"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</row>
    <row r="56" spans="3:16" x14ac:dyDescent="0.3">
      <c r="C56">
        <v>0</v>
      </c>
      <c r="D56">
        <v>0</v>
      </c>
      <c r="E56">
        <v>0</v>
      </c>
      <c r="F56">
        <v>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1</v>
      </c>
      <c r="N56">
        <v>0</v>
      </c>
      <c r="O56">
        <v>0</v>
      </c>
      <c r="P56">
        <v>0</v>
      </c>
    </row>
    <row r="57" spans="3:16" x14ac:dyDescent="0.3"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</row>
    <row r="58" spans="3:16" x14ac:dyDescent="0.3">
      <c r="C58">
        <v>0</v>
      </c>
      <c r="D58">
        <v>1</v>
      </c>
      <c r="E58">
        <v>0</v>
      </c>
      <c r="F58">
        <v>0</v>
      </c>
      <c r="G58">
        <v>0</v>
      </c>
      <c r="H58">
        <v>1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</row>
    <row r="59" spans="3:16" x14ac:dyDescent="0.3"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1</v>
      </c>
      <c r="P59">
        <v>0</v>
      </c>
    </row>
    <row r="60" spans="3:16" x14ac:dyDescent="0.3">
      <c r="C60">
        <v>0</v>
      </c>
      <c r="D60">
        <v>0</v>
      </c>
      <c r="E60">
        <v>0</v>
      </c>
      <c r="F60">
        <v>1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</row>
    <row r="61" spans="3:16" x14ac:dyDescent="0.3"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1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</row>
    <row r="62" spans="3:16" x14ac:dyDescent="0.3"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1</v>
      </c>
      <c r="J62">
        <v>0</v>
      </c>
      <c r="K62">
        <v>1</v>
      </c>
      <c r="L62">
        <v>0</v>
      </c>
      <c r="M62">
        <v>0</v>
      </c>
      <c r="N62">
        <v>0</v>
      </c>
      <c r="O62">
        <v>0</v>
      </c>
      <c r="P62">
        <v>0</v>
      </c>
    </row>
    <row r="63" spans="3:16" x14ac:dyDescent="0.3"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1</v>
      </c>
      <c r="K63">
        <v>0</v>
      </c>
      <c r="L63">
        <v>0</v>
      </c>
      <c r="M63">
        <v>0</v>
      </c>
      <c r="N63">
        <v>0</v>
      </c>
      <c r="O63">
        <v>1</v>
      </c>
      <c r="P63">
        <v>0</v>
      </c>
    </row>
    <row r="64" spans="3:16" x14ac:dyDescent="0.3"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3:16" x14ac:dyDescent="0.3">
      <c r="C65">
        <v>0</v>
      </c>
      <c r="D65">
        <v>1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3:16" x14ac:dyDescent="0.3"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3:16" x14ac:dyDescent="0.3">
      <c r="C67">
        <v>0</v>
      </c>
      <c r="D67">
        <v>0</v>
      </c>
      <c r="E67">
        <v>0</v>
      </c>
      <c r="F67">
        <v>0</v>
      </c>
      <c r="G67">
        <v>1</v>
      </c>
      <c r="H67">
        <v>0</v>
      </c>
      <c r="I67">
        <v>0</v>
      </c>
      <c r="J67">
        <v>0</v>
      </c>
      <c r="K67">
        <v>1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3:16" x14ac:dyDescent="0.3"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587B1-8A47-4884-B227-C17683AFEF76}">
  <dimension ref="A1:D14"/>
  <sheetViews>
    <sheetView workbookViewId="0">
      <selection activeCell="A14" sqref="A14"/>
    </sheetView>
  </sheetViews>
  <sheetFormatPr defaultRowHeight="14" x14ac:dyDescent="0.3"/>
  <sheetData>
    <row r="1" spans="1:4" x14ac:dyDescent="0.3">
      <c r="A1" s="2" t="s">
        <v>4</v>
      </c>
    </row>
    <row r="2" spans="1:4" x14ac:dyDescent="0.3">
      <c r="A2" s="2" t="s">
        <v>5</v>
      </c>
      <c r="C2">
        <v>2</v>
      </c>
      <c r="D2">
        <v>11</v>
      </c>
    </row>
    <row r="3" spans="1:4" x14ac:dyDescent="0.3">
      <c r="A3" s="2" t="s">
        <v>6</v>
      </c>
      <c r="C3">
        <v>1</v>
      </c>
      <c r="D3">
        <v>10</v>
      </c>
    </row>
    <row r="4" spans="1:4" x14ac:dyDescent="0.3">
      <c r="A4" s="2" t="s">
        <v>7</v>
      </c>
      <c r="C4">
        <v>3</v>
      </c>
      <c r="D4">
        <v>6</v>
      </c>
    </row>
    <row r="5" spans="1:4" x14ac:dyDescent="0.3">
      <c r="A5" s="2" t="s">
        <v>8</v>
      </c>
      <c r="C5">
        <v>1</v>
      </c>
      <c r="D5">
        <v>9</v>
      </c>
    </row>
    <row r="6" spans="1:4" x14ac:dyDescent="0.3">
      <c r="A6" s="2" t="s">
        <v>9</v>
      </c>
      <c r="C6">
        <v>8</v>
      </c>
      <c r="D6">
        <v>10</v>
      </c>
    </row>
    <row r="7" spans="1:4" x14ac:dyDescent="0.3">
      <c r="A7" s="2" t="s">
        <v>10</v>
      </c>
      <c r="C7">
        <v>8</v>
      </c>
      <c r="D7">
        <v>13</v>
      </c>
    </row>
    <row r="8" spans="1:4" x14ac:dyDescent="0.3">
      <c r="A8" s="2" t="s">
        <v>11</v>
      </c>
      <c r="C8">
        <v>5</v>
      </c>
      <c r="D8">
        <v>6</v>
      </c>
    </row>
    <row r="9" spans="1:4" x14ac:dyDescent="0.3">
      <c r="A9" s="2" t="s">
        <v>12</v>
      </c>
      <c r="C9">
        <v>7</v>
      </c>
      <c r="D9">
        <v>8</v>
      </c>
    </row>
    <row r="10" spans="1:4" x14ac:dyDescent="0.3">
      <c r="A10" s="2" t="s">
        <v>13</v>
      </c>
      <c r="C10">
        <v>4</v>
      </c>
      <c r="D10">
        <v>13</v>
      </c>
    </row>
    <row r="11" spans="1:4" x14ac:dyDescent="0.3">
      <c r="A11" s="2" t="s">
        <v>14</v>
      </c>
      <c r="C11">
        <v>4</v>
      </c>
      <c r="D11">
        <v>8</v>
      </c>
    </row>
    <row r="12" spans="1:4" x14ac:dyDescent="0.3">
      <c r="A12" s="2" t="s">
        <v>15</v>
      </c>
    </row>
    <row r="13" spans="1:4" x14ac:dyDescent="0.3">
      <c r="A13" s="2" t="s">
        <v>16</v>
      </c>
    </row>
    <row r="14" spans="1:4" x14ac:dyDescent="0.3">
      <c r="A14" t="s">
        <v>17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13644-E3BE-42B5-9B0F-0722E8164D5F}">
  <dimension ref="A1:O16"/>
  <sheetViews>
    <sheetView workbookViewId="0">
      <selection activeCell="O7" sqref="O7:O16"/>
    </sheetView>
  </sheetViews>
  <sheetFormatPr defaultRowHeight="14" x14ac:dyDescent="0.3"/>
  <sheetData>
    <row r="1" spans="1:15" x14ac:dyDescent="0.3">
      <c r="A1" s="2" t="s">
        <v>4</v>
      </c>
    </row>
    <row r="2" spans="1:15" x14ac:dyDescent="0.3">
      <c r="A2" s="2" t="s">
        <v>5</v>
      </c>
    </row>
    <row r="3" spans="1:15" x14ac:dyDescent="0.3">
      <c r="A3" s="2" t="s">
        <v>6</v>
      </c>
      <c r="C3">
        <v>5</v>
      </c>
      <c r="D3">
        <v>6</v>
      </c>
      <c r="F3" s="25" t="str">
        <f>A5&amp;A6</f>
        <v>氧化镁氧化铝</v>
      </c>
    </row>
    <row r="4" spans="1:15" x14ac:dyDescent="0.3">
      <c r="A4" s="2" t="s">
        <v>7</v>
      </c>
      <c r="C4">
        <v>1</v>
      </c>
      <c r="D4">
        <v>12</v>
      </c>
      <c r="F4" s="25" t="str">
        <f>A1&amp;A12</f>
        <v>二氧化硅氧化锶</v>
      </c>
    </row>
    <row r="5" spans="1:15" x14ac:dyDescent="0.3">
      <c r="A5" s="2" t="s">
        <v>8</v>
      </c>
      <c r="C5">
        <v>4</v>
      </c>
      <c r="D5">
        <v>5</v>
      </c>
      <c r="F5" s="25" t="str">
        <f>A4&amp;A5</f>
        <v>氧化钙氧化镁</v>
      </c>
    </row>
    <row r="6" spans="1:15" ht="14.5" thickBot="1" x14ac:dyDescent="0.35">
      <c r="A6" s="2" t="s">
        <v>9</v>
      </c>
      <c r="C6">
        <v>5</v>
      </c>
      <c r="D6">
        <v>10</v>
      </c>
      <c r="F6" s="25" t="str">
        <f>A5&amp;A10</f>
        <v>氧化镁氧化钡</v>
      </c>
    </row>
    <row r="7" spans="1:15" ht="16" thickBot="1" x14ac:dyDescent="0.35">
      <c r="A7" s="2" t="s">
        <v>10</v>
      </c>
      <c r="C7">
        <v>5</v>
      </c>
      <c r="D7">
        <v>7</v>
      </c>
      <c r="F7" s="25" t="str">
        <f>A5&amp;A7</f>
        <v>氧化镁氧化铁</v>
      </c>
      <c r="H7" s="26">
        <v>0.81399999999999995</v>
      </c>
      <c r="I7" s="26">
        <v>0.67500000000000004</v>
      </c>
      <c r="J7" s="26">
        <v>1</v>
      </c>
      <c r="K7" s="26">
        <v>0.80400000000000005</v>
      </c>
      <c r="L7" s="26">
        <v>0.80400000000000005</v>
      </c>
      <c r="M7" s="26">
        <v>-1</v>
      </c>
      <c r="N7" s="26">
        <v>-0.67500000000000004</v>
      </c>
      <c r="O7" s="26">
        <v>0.81399999999999995</v>
      </c>
    </row>
    <row r="8" spans="1:15" ht="16" thickBot="1" x14ac:dyDescent="0.35">
      <c r="A8" s="2" t="s">
        <v>11</v>
      </c>
      <c r="C8">
        <v>10</v>
      </c>
      <c r="D8">
        <v>14</v>
      </c>
      <c r="F8" t="str">
        <f>A10&amp;A14</f>
        <v>氧化钡二氧化硫</v>
      </c>
      <c r="H8" s="27">
        <v>0.66700000000000004</v>
      </c>
      <c r="I8" s="27">
        <v>0.65100000000000002</v>
      </c>
      <c r="J8" s="27">
        <v>0.94289999999999996</v>
      </c>
      <c r="K8" s="27">
        <v>0.75900000000000001</v>
      </c>
      <c r="L8" s="27">
        <v>0.75900000000000001</v>
      </c>
      <c r="M8" s="27">
        <v>-0.94289999999999996</v>
      </c>
      <c r="N8" s="27">
        <v>-0.65100000000000002</v>
      </c>
      <c r="O8" s="27">
        <v>-0.66700000000000004</v>
      </c>
    </row>
    <row r="9" spans="1:15" ht="16" thickBot="1" x14ac:dyDescent="0.35">
      <c r="A9" s="2" t="s">
        <v>12</v>
      </c>
      <c r="C9">
        <v>6</v>
      </c>
      <c r="D9">
        <v>7</v>
      </c>
      <c r="F9" s="25" t="str">
        <f>A6&amp;A7</f>
        <v>氧化铝氧化铁</v>
      </c>
      <c r="H9" s="27">
        <v>0.63600000000000001</v>
      </c>
      <c r="I9" s="27">
        <v>0.61799999999999999</v>
      </c>
      <c r="J9" s="27">
        <v>0.94289999999999996</v>
      </c>
      <c r="K9" s="27">
        <v>0.624</v>
      </c>
      <c r="L9" s="27">
        <v>0.624</v>
      </c>
      <c r="M9" s="27">
        <v>0.94289999999999996</v>
      </c>
      <c r="N9" s="27">
        <v>0.61799999999999999</v>
      </c>
      <c r="O9" s="27">
        <v>0.63600000000000001</v>
      </c>
    </row>
    <row r="10" spans="1:15" ht="16" thickBot="1" x14ac:dyDescent="0.35">
      <c r="A10" s="2" t="s">
        <v>13</v>
      </c>
      <c r="C10">
        <v>9</v>
      </c>
      <c r="D10">
        <v>10</v>
      </c>
      <c r="F10" s="25" t="str">
        <f>A9&amp;A10</f>
        <v>氧化铅氧化钡</v>
      </c>
      <c r="H10" s="27">
        <v>0.63100000000000001</v>
      </c>
      <c r="I10" s="27">
        <v>0.60199999999999998</v>
      </c>
      <c r="J10" s="27">
        <v>0.92759999999999998</v>
      </c>
      <c r="K10" s="27">
        <v>0.61699999999999999</v>
      </c>
      <c r="L10" s="27">
        <v>0.61699999999999999</v>
      </c>
      <c r="M10" s="27">
        <v>-0.92759999999999998</v>
      </c>
      <c r="N10" s="27">
        <v>-0.60199999999999998</v>
      </c>
      <c r="O10" s="27">
        <v>-0.63100000000000001</v>
      </c>
    </row>
    <row r="11" spans="1:15" ht="16" thickBot="1" x14ac:dyDescent="0.35">
      <c r="A11" s="2" t="s">
        <v>14</v>
      </c>
      <c r="C11">
        <v>8</v>
      </c>
      <c r="D11">
        <v>14</v>
      </c>
      <c r="F11" t="str">
        <f>A8&amp;A14</f>
        <v>氧化铜二氧化硫</v>
      </c>
      <c r="H11" s="27">
        <v>0.626</v>
      </c>
      <c r="I11" s="27">
        <v>0.55200000000000005</v>
      </c>
      <c r="J11" s="27">
        <v>0.84519999999999995</v>
      </c>
      <c r="K11" s="27">
        <v>0.59699999999999998</v>
      </c>
      <c r="L11" s="27">
        <v>0.59699999999999998</v>
      </c>
      <c r="M11" s="27">
        <v>0.84519999999999995</v>
      </c>
      <c r="N11" s="27">
        <v>0.55200000000000005</v>
      </c>
      <c r="O11" s="27">
        <v>0.626</v>
      </c>
    </row>
    <row r="12" spans="1:15" ht="16" thickBot="1" x14ac:dyDescent="0.35">
      <c r="A12" s="2" t="s">
        <v>15</v>
      </c>
      <c r="C12">
        <v>6</v>
      </c>
      <c r="D12">
        <v>10</v>
      </c>
      <c r="F12" s="25" t="str">
        <f>A6&amp;A10</f>
        <v>氧化铝氧化钡</v>
      </c>
      <c r="H12" s="27">
        <v>0.624</v>
      </c>
      <c r="I12" s="27">
        <v>0.54900000000000004</v>
      </c>
      <c r="J12" s="27">
        <v>0.67610000000000003</v>
      </c>
      <c r="K12" s="27">
        <v>0.59199999999999997</v>
      </c>
      <c r="L12" s="27">
        <v>-0.59199999999999997</v>
      </c>
      <c r="M12" s="27">
        <v>-0.67610000000000003</v>
      </c>
      <c r="N12" s="27">
        <v>-0.54900000000000004</v>
      </c>
      <c r="O12" s="27">
        <v>0.624</v>
      </c>
    </row>
    <row r="13" spans="1:15" ht="16" thickBot="1" x14ac:dyDescent="0.35">
      <c r="A13" s="2" t="s">
        <v>16</v>
      </c>
      <c r="H13" s="27">
        <v>0.60299999999999998</v>
      </c>
      <c r="I13" s="27">
        <v>0.54300000000000004</v>
      </c>
      <c r="J13" s="27">
        <v>0.67610000000000003</v>
      </c>
      <c r="K13" s="27">
        <v>0.59</v>
      </c>
      <c r="L13" s="27">
        <v>-0.59</v>
      </c>
      <c r="M13" s="27">
        <v>0.67610000000000003</v>
      </c>
      <c r="N13" s="27">
        <v>0.54300000000000004</v>
      </c>
      <c r="O13" s="27">
        <v>0.60299999999999998</v>
      </c>
    </row>
    <row r="14" spans="1:15" ht="16" thickBot="1" x14ac:dyDescent="0.35">
      <c r="A14" t="s">
        <v>17</v>
      </c>
      <c r="H14" s="27">
        <v>0.58499999999999996</v>
      </c>
      <c r="I14" s="27">
        <v>0.51400000000000001</v>
      </c>
      <c r="J14" s="27">
        <v>0.67610000000000003</v>
      </c>
      <c r="K14" s="27">
        <v>0.58399999999999996</v>
      </c>
      <c r="L14" s="27">
        <v>-0.58399999999999996</v>
      </c>
      <c r="M14" s="27">
        <v>-0.67610000000000003</v>
      </c>
      <c r="N14" s="27">
        <v>-0.51400000000000001</v>
      </c>
      <c r="O14" s="27">
        <v>-0.58499999999999996</v>
      </c>
    </row>
    <row r="15" spans="1:15" ht="16" thickBot="1" x14ac:dyDescent="0.35">
      <c r="H15" s="27">
        <v>0.54300000000000004</v>
      </c>
      <c r="I15" s="27">
        <v>0.496</v>
      </c>
      <c r="J15" s="27">
        <v>0.54290000000000005</v>
      </c>
      <c r="K15" s="27">
        <v>0.57599999999999996</v>
      </c>
      <c r="L15" s="27">
        <v>-0.57599999999999996</v>
      </c>
      <c r="M15" s="27">
        <v>-0.54290000000000005</v>
      </c>
      <c r="N15" s="27">
        <v>0.496</v>
      </c>
      <c r="O15" s="27">
        <v>0.54300000000000004</v>
      </c>
    </row>
    <row r="16" spans="1:15" ht="16" thickBot="1" x14ac:dyDescent="0.35">
      <c r="H16" s="27">
        <v>0.53700000000000003</v>
      </c>
      <c r="I16" s="27">
        <v>0.47299999999999998</v>
      </c>
      <c r="J16" s="27">
        <v>0.54290000000000005</v>
      </c>
      <c r="K16" s="27">
        <v>0.57399999999999995</v>
      </c>
      <c r="L16" s="27">
        <v>0.57399999999999995</v>
      </c>
      <c r="M16" s="27">
        <v>-0.54290000000000005</v>
      </c>
      <c r="N16" s="27">
        <v>-0.47299999999999998</v>
      </c>
      <c r="O16" s="27">
        <v>-0.53700000000000003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21368-D1A8-4B85-9E6E-8EC8419AD354}">
  <dimension ref="A4:N42"/>
  <sheetViews>
    <sheetView workbookViewId="0">
      <selection activeCell="M35" sqref="M35:N38"/>
    </sheetView>
  </sheetViews>
  <sheetFormatPr defaultRowHeight="14" x14ac:dyDescent="0.3"/>
  <cols>
    <col min="6" max="6" width="10.08203125" customWidth="1"/>
    <col min="13" max="13" width="23.1640625" bestFit="1" customWidth="1"/>
  </cols>
  <sheetData>
    <row r="4" spans="1:5" ht="14.5" thickBot="1" x14ac:dyDescent="0.35">
      <c r="B4" t="s">
        <v>38</v>
      </c>
      <c r="C4" t="s">
        <v>40</v>
      </c>
      <c r="D4" t="s">
        <v>42</v>
      </c>
      <c r="E4" t="s">
        <v>44</v>
      </c>
    </row>
    <row r="5" spans="1:5" ht="16" thickBot="1" x14ac:dyDescent="0.35">
      <c r="A5">
        <v>1</v>
      </c>
      <c r="B5" s="26">
        <v>0.80400000000000005</v>
      </c>
      <c r="C5" s="26">
        <v>-1</v>
      </c>
      <c r="D5" s="26">
        <v>-0.67500000000000004</v>
      </c>
      <c r="E5" s="26">
        <v>0.81399999999999995</v>
      </c>
    </row>
    <row r="6" spans="1:5" ht="16" thickBot="1" x14ac:dyDescent="0.35">
      <c r="A6">
        <v>2</v>
      </c>
      <c r="B6" s="27">
        <v>0.75900000000000001</v>
      </c>
      <c r="C6" s="27">
        <v>-0.94289999999999996</v>
      </c>
      <c r="D6" s="27">
        <v>-0.65100000000000002</v>
      </c>
      <c r="E6" s="27">
        <v>-0.66700000000000004</v>
      </c>
    </row>
    <row r="7" spans="1:5" ht="16" thickBot="1" x14ac:dyDescent="0.35">
      <c r="A7">
        <v>3</v>
      </c>
      <c r="B7" s="27">
        <v>0.624</v>
      </c>
      <c r="C7" s="27">
        <v>0.94289999999999996</v>
      </c>
      <c r="D7" s="27">
        <v>0.61799999999999999</v>
      </c>
      <c r="E7" s="27">
        <v>0.63600000000000001</v>
      </c>
    </row>
    <row r="8" spans="1:5" ht="16" thickBot="1" x14ac:dyDescent="0.35">
      <c r="A8">
        <v>4</v>
      </c>
      <c r="B8" s="27">
        <v>0.61699999999999999</v>
      </c>
      <c r="C8" s="27">
        <v>-0.92759999999999998</v>
      </c>
      <c r="D8" s="27">
        <v>-0.60199999999999998</v>
      </c>
      <c r="E8" s="27">
        <v>-0.63100000000000001</v>
      </c>
    </row>
    <row r="9" spans="1:5" ht="16" thickBot="1" x14ac:dyDescent="0.35">
      <c r="A9">
        <v>5</v>
      </c>
      <c r="B9" s="27">
        <v>0.59699999999999998</v>
      </c>
      <c r="C9" s="27">
        <v>0.84519999999999995</v>
      </c>
      <c r="D9" s="27">
        <v>0.55200000000000005</v>
      </c>
      <c r="E9" s="27">
        <v>0.626</v>
      </c>
    </row>
    <row r="10" spans="1:5" ht="16" thickBot="1" x14ac:dyDescent="0.35">
      <c r="A10">
        <v>6</v>
      </c>
      <c r="B10" s="27">
        <v>-0.59199999999999997</v>
      </c>
      <c r="C10" s="27">
        <v>-0.67610000000000003</v>
      </c>
      <c r="D10" s="27">
        <v>-0.54900000000000004</v>
      </c>
      <c r="E10" s="27">
        <v>0.624</v>
      </c>
    </row>
    <row r="11" spans="1:5" ht="16" thickBot="1" x14ac:dyDescent="0.35">
      <c r="A11">
        <v>7</v>
      </c>
      <c r="B11" s="27">
        <v>-0.59</v>
      </c>
      <c r="C11" s="27">
        <v>0.67610000000000003</v>
      </c>
      <c r="D11" s="27">
        <v>0.54300000000000004</v>
      </c>
      <c r="E11" s="27">
        <v>0.60299999999999998</v>
      </c>
    </row>
    <row r="12" spans="1:5" ht="16" thickBot="1" x14ac:dyDescent="0.35">
      <c r="A12">
        <v>8</v>
      </c>
      <c r="B12" s="27">
        <v>-0.58399999999999996</v>
      </c>
      <c r="C12" s="27">
        <v>-0.67610000000000003</v>
      </c>
      <c r="D12" s="27">
        <v>-0.51400000000000001</v>
      </c>
      <c r="E12" s="27">
        <v>-0.58499999999999996</v>
      </c>
    </row>
    <row r="13" spans="1:5" ht="16" thickBot="1" x14ac:dyDescent="0.35">
      <c r="A13">
        <v>9</v>
      </c>
      <c r="B13" s="27">
        <v>-0.57599999999999996</v>
      </c>
      <c r="C13" s="27">
        <v>-0.54290000000000005</v>
      </c>
      <c r="D13" s="27">
        <v>0.496</v>
      </c>
      <c r="E13" s="27">
        <v>0.54300000000000004</v>
      </c>
    </row>
    <row r="14" spans="1:5" ht="16" thickBot="1" x14ac:dyDescent="0.35">
      <c r="A14">
        <v>10</v>
      </c>
      <c r="B14" s="27">
        <v>0.57399999999999995</v>
      </c>
      <c r="C14" s="27">
        <v>-0.54290000000000005</v>
      </c>
      <c r="D14" s="27">
        <v>-0.47299999999999998</v>
      </c>
      <c r="E14" s="27">
        <v>-0.53700000000000003</v>
      </c>
    </row>
    <row r="16" spans="1:5" x14ac:dyDescent="0.3">
      <c r="B16">
        <f>ABS(B5)</f>
        <v>0.80400000000000005</v>
      </c>
      <c r="C16">
        <f t="shared" ref="C16:E16" si="0">ABS(C5)</f>
        <v>1</v>
      </c>
      <c r="D16">
        <f t="shared" si="0"/>
        <v>0.67500000000000004</v>
      </c>
      <c r="E16">
        <f t="shared" si="0"/>
        <v>0.81399999999999995</v>
      </c>
    </row>
    <row r="17" spans="2:12" x14ac:dyDescent="0.3">
      <c r="B17">
        <f t="shared" ref="B17:E17" si="1">ABS(B6)</f>
        <v>0.75900000000000001</v>
      </c>
      <c r="C17">
        <f t="shared" si="1"/>
        <v>0.94289999999999996</v>
      </c>
      <c r="D17">
        <f t="shared" si="1"/>
        <v>0.65100000000000002</v>
      </c>
      <c r="E17">
        <f t="shared" si="1"/>
        <v>0.66700000000000004</v>
      </c>
    </row>
    <row r="18" spans="2:12" x14ac:dyDescent="0.3">
      <c r="B18">
        <f t="shared" ref="B18:E18" si="2">ABS(B7)</f>
        <v>0.624</v>
      </c>
      <c r="C18">
        <f t="shared" si="2"/>
        <v>0.94289999999999996</v>
      </c>
      <c r="D18">
        <f t="shared" si="2"/>
        <v>0.61799999999999999</v>
      </c>
      <c r="E18">
        <f t="shared" si="2"/>
        <v>0.63600000000000001</v>
      </c>
    </row>
    <row r="19" spans="2:12" x14ac:dyDescent="0.3">
      <c r="B19">
        <f t="shared" ref="B19:E19" si="3">ABS(B8)</f>
        <v>0.61699999999999999</v>
      </c>
      <c r="C19">
        <f t="shared" si="3"/>
        <v>0.92759999999999998</v>
      </c>
      <c r="D19">
        <f t="shared" si="3"/>
        <v>0.60199999999999998</v>
      </c>
      <c r="E19">
        <f t="shared" si="3"/>
        <v>0.63100000000000001</v>
      </c>
    </row>
    <row r="20" spans="2:12" x14ac:dyDescent="0.3">
      <c r="B20">
        <f t="shared" ref="B20:E20" si="4">ABS(B9)</f>
        <v>0.59699999999999998</v>
      </c>
      <c r="C20">
        <f t="shared" si="4"/>
        <v>0.84519999999999995</v>
      </c>
      <c r="D20">
        <f t="shared" si="4"/>
        <v>0.55200000000000005</v>
      </c>
      <c r="E20">
        <f t="shared" si="4"/>
        <v>0.626</v>
      </c>
    </row>
    <row r="21" spans="2:12" x14ac:dyDescent="0.3">
      <c r="B21">
        <f t="shared" ref="B21:E21" si="5">ABS(B10)</f>
        <v>0.59199999999999997</v>
      </c>
      <c r="C21">
        <f t="shared" si="5"/>
        <v>0.67610000000000003</v>
      </c>
      <c r="D21">
        <f t="shared" si="5"/>
        <v>0.54900000000000004</v>
      </c>
      <c r="E21">
        <f t="shared" si="5"/>
        <v>0.624</v>
      </c>
    </row>
    <row r="22" spans="2:12" x14ac:dyDescent="0.3">
      <c r="B22">
        <f t="shared" ref="B22:E22" si="6">ABS(B11)</f>
        <v>0.59</v>
      </c>
      <c r="C22">
        <f t="shared" si="6"/>
        <v>0.67610000000000003</v>
      </c>
      <c r="D22">
        <f t="shared" si="6"/>
        <v>0.54300000000000004</v>
      </c>
      <c r="E22">
        <f t="shared" si="6"/>
        <v>0.60299999999999998</v>
      </c>
    </row>
    <row r="23" spans="2:12" x14ac:dyDescent="0.25">
      <c r="B23">
        <f t="shared" ref="B23:E23" si="7">ABS(B12)</f>
        <v>0.58399999999999996</v>
      </c>
      <c r="C23">
        <f t="shared" si="7"/>
        <v>0.67610000000000003</v>
      </c>
      <c r="D23">
        <f t="shared" si="7"/>
        <v>0.51400000000000001</v>
      </c>
      <c r="E23">
        <f t="shared" si="7"/>
        <v>0.58499999999999996</v>
      </c>
      <c r="H23" t="s">
        <v>46</v>
      </c>
      <c r="L23" s="28"/>
    </row>
    <row r="24" spans="2:12" x14ac:dyDescent="0.25">
      <c r="B24">
        <f t="shared" ref="B24:E24" si="8">ABS(B13)</f>
        <v>0.57599999999999996</v>
      </c>
      <c r="C24">
        <f t="shared" si="8"/>
        <v>0.54290000000000005</v>
      </c>
      <c r="D24">
        <f t="shared" si="8"/>
        <v>0.496</v>
      </c>
      <c r="E24">
        <f t="shared" si="8"/>
        <v>0.54300000000000004</v>
      </c>
      <c r="F24" t="s">
        <v>45</v>
      </c>
      <c r="G24" t="s">
        <v>47</v>
      </c>
      <c r="H24" t="s">
        <v>48</v>
      </c>
      <c r="I24" t="s">
        <v>49</v>
      </c>
      <c r="J24" t="s">
        <v>51</v>
      </c>
      <c r="L24" s="28"/>
    </row>
    <row r="25" spans="2:12" x14ac:dyDescent="0.25">
      <c r="B25">
        <f t="shared" ref="B25:E25" si="9">ABS(B14)</f>
        <v>0.57399999999999995</v>
      </c>
      <c r="C25">
        <f t="shared" si="9"/>
        <v>0.54290000000000005</v>
      </c>
      <c r="D25">
        <f t="shared" si="9"/>
        <v>0.47299999999999998</v>
      </c>
      <c r="E25">
        <f t="shared" si="9"/>
        <v>0.53700000000000003</v>
      </c>
      <c r="F25" t="s">
        <v>37</v>
      </c>
      <c r="G25" s="14">
        <v>-0.59199999999999997</v>
      </c>
      <c r="H25" s="14">
        <v>0.80400000000000005</v>
      </c>
      <c r="I25" s="14">
        <v>0.1633</v>
      </c>
      <c r="J25" s="14">
        <v>0.64834610955706196</v>
      </c>
      <c r="L25" s="28"/>
    </row>
    <row r="26" spans="2:12" x14ac:dyDescent="0.25">
      <c r="F26" t="s">
        <v>39</v>
      </c>
      <c r="G26" s="14">
        <v>-1</v>
      </c>
      <c r="H26" s="14">
        <v>0.94289999999999996</v>
      </c>
      <c r="I26" s="14">
        <v>-0.28443000000000002</v>
      </c>
      <c r="J26" s="14">
        <v>0.78207244769550888</v>
      </c>
      <c r="L26" s="28"/>
    </row>
    <row r="27" spans="2:12" x14ac:dyDescent="0.25">
      <c r="F27" t="s">
        <v>41</v>
      </c>
      <c r="G27" s="14">
        <v>-0.67500000000000004</v>
      </c>
      <c r="H27" s="14">
        <v>0.61799999999999999</v>
      </c>
      <c r="I27" s="14">
        <v>-0.1255</v>
      </c>
      <c r="J27" s="14">
        <v>0.58700241339651527</v>
      </c>
      <c r="L27" s="28"/>
    </row>
    <row r="28" spans="2:12" x14ac:dyDescent="0.25">
      <c r="F28" t="s">
        <v>43</v>
      </c>
      <c r="G28" s="14">
        <v>-0.66700000000000004</v>
      </c>
      <c r="H28" s="14">
        <v>0.81399999999999995</v>
      </c>
      <c r="I28" s="14">
        <v>0.1426</v>
      </c>
      <c r="J28" s="14">
        <v>0.6478252850885029</v>
      </c>
      <c r="L28" s="28"/>
    </row>
    <row r="29" spans="2:12" x14ac:dyDescent="0.25">
      <c r="L29" s="28"/>
    </row>
    <row r="34" spans="6:14" ht="16" x14ac:dyDescent="0.3">
      <c r="M34" t="s">
        <v>58</v>
      </c>
    </row>
    <row r="35" spans="6:14" x14ac:dyDescent="0.3">
      <c r="M35" t="s">
        <v>45</v>
      </c>
      <c r="N35" t="s">
        <v>52</v>
      </c>
    </row>
    <row r="36" spans="6:14" x14ac:dyDescent="0.3">
      <c r="M36" t="s">
        <v>53</v>
      </c>
      <c r="N36">
        <v>8.1291494555013148</v>
      </c>
    </row>
    <row r="37" spans="6:14" x14ac:dyDescent="0.3">
      <c r="H37" t="s">
        <v>46</v>
      </c>
      <c r="M37" t="s">
        <v>54</v>
      </c>
      <c r="N37">
        <v>3</v>
      </c>
    </row>
    <row r="38" spans="6:14" x14ac:dyDescent="0.3">
      <c r="F38" t="s">
        <v>45</v>
      </c>
      <c r="G38" t="s">
        <v>47</v>
      </c>
      <c r="H38" t="s">
        <v>48</v>
      </c>
      <c r="I38" t="s">
        <v>49</v>
      </c>
      <c r="J38" t="s">
        <v>50</v>
      </c>
      <c r="M38" t="s">
        <v>55</v>
      </c>
      <c r="N38">
        <v>4.3416637282892911E-2</v>
      </c>
    </row>
    <row r="39" spans="6:14" x14ac:dyDescent="0.3">
      <c r="F39" t="s">
        <v>37</v>
      </c>
      <c r="G39" s="14">
        <v>0.57399999999999995</v>
      </c>
      <c r="H39" s="14">
        <v>0.80400000000000005</v>
      </c>
      <c r="I39" s="14">
        <v>0.63200000000000001</v>
      </c>
      <c r="J39" s="14">
        <v>8.1000000000000003E-2</v>
      </c>
      <c r="M39" t="s">
        <v>56</v>
      </c>
    </row>
    <row r="40" spans="6:14" x14ac:dyDescent="0.3">
      <c r="F40" t="s">
        <v>39</v>
      </c>
      <c r="G40" s="14">
        <v>0.54300000000000004</v>
      </c>
      <c r="H40" s="14">
        <v>1</v>
      </c>
      <c r="I40" s="14">
        <v>0.77700000000000002</v>
      </c>
      <c r="J40" s="14">
        <v>0.17399999999999999</v>
      </c>
      <c r="M40" t="s">
        <v>57</v>
      </c>
    </row>
    <row r="41" spans="6:14" x14ac:dyDescent="0.3">
      <c r="F41" t="s">
        <v>41</v>
      </c>
      <c r="G41" s="14">
        <v>0.47299999999999998</v>
      </c>
      <c r="H41" s="14">
        <v>0.67500000000000004</v>
      </c>
      <c r="I41" s="14">
        <v>0.56699999999999995</v>
      </c>
      <c r="J41" s="14">
        <v>6.7000000000000004E-2</v>
      </c>
    </row>
    <row r="42" spans="6:14" x14ac:dyDescent="0.3">
      <c r="F42" t="s">
        <v>43</v>
      </c>
      <c r="G42" s="14">
        <v>0.53700000000000003</v>
      </c>
      <c r="H42" s="14">
        <v>0.81399999999999995</v>
      </c>
      <c r="I42" s="14">
        <v>0.627</v>
      </c>
      <c r="J42" s="14">
        <v>7.8E-2</v>
      </c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高钾无风化</vt:lpstr>
      <vt:lpstr>Sheet1</vt:lpstr>
      <vt:lpstr>Sheet2</vt:lpstr>
      <vt:lpstr>高钾风化</vt:lpstr>
      <vt:lpstr>铅钡无风化</vt:lpstr>
      <vt:lpstr>铅钡风化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xinch</dc:creator>
  <cp:lastModifiedBy>xinch</cp:lastModifiedBy>
  <dcterms:created xsi:type="dcterms:W3CDTF">2022-09-15T13:16:20Z</dcterms:created>
  <dcterms:modified xsi:type="dcterms:W3CDTF">2022-09-18T06:24:32Z</dcterms:modified>
</cp:coreProperties>
</file>