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nch\Desktop\问题一\"/>
    </mc:Choice>
  </mc:AlternateContent>
  <xr:revisionPtr revIDLastSave="0" documentId="13_ncr:1_{A5659DE3-7644-4966-9645-5C2559986371}" xr6:coauthVersionLast="47" xr6:coauthVersionMax="47" xr10:uidLastSave="{00000000-0000-0000-0000-000000000000}"/>
  <bookViews>
    <workbookView xWindow="-110" yWindow="-110" windowWidth="19420" windowHeight="10560" activeTab="1" xr2:uid="{BA656EE9-21BF-4B39-96FF-E7371C8DDA39}"/>
  </bookViews>
  <sheets>
    <sheet name="高钾（无风化）" sheetId="1" r:id="rId1"/>
    <sheet name="Sheet1" sheetId="7" r:id="rId2"/>
    <sheet name="高钾（风化）" sheetId="3" r:id="rId3"/>
    <sheet name="铅钡（无风化）" sheetId="2" r:id="rId4"/>
    <sheet name="铅钡（风化）" sheetId="4" r:id="rId5"/>
    <sheet name="钾" sheetId="5" r:id="rId6"/>
    <sheet name="铅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7" l="1"/>
  <c r="P2" i="7"/>
</calcChain>
</file>

<file path=xl/sharedStrings.xml><?xml version="1.0" encoding="utf-8"?>
<sst xmlns="http://schemas.openxmlformats.org/spreadsheetml/2006/main" count="236" uniqueCount="100">
  <si>
    <t>文物采样点</t>
    <phoneticPr fontId="2" type="noConversion"/>
  </si>
  <si>
    <r>
      <rPr>
        <b/>
        <sz val="10"/>
        <color rgb="FFC00000"/>
        <rFont val="宋体"/>
        <family val="3"/>
        <charset val="134"/>
      </rPr>
      <t>二氧化硅</t>
    </r>
    <r>
      <rPr>
        <b/>
        <sz val="10"/>
        <color rgb="FFC00000"/>
        <rFont val="Times New Roman"/>
        <family val="1"/>
      </rPr>
      <t>(SiO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2" type="noConversion"/>
  </si>
  <si>
    <r>
      <rPr>
        <b/>
        <sz val="10"/>
        <color rgb="FFC00000"/>
        <rFont val="宋体"/>
        <family val="3"/>
        <charset val="134"/>
      </rPr>
      <t>氧化钠</t>
    </r>
    <r>
      <rPr>
        <b/>
        <sz val="10"/>
        <color rgb="FFC00000"/>
        <rFont val="Times New Roman"/>
        <family val="1"/>
      </rPr>
      <t>(Na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O)</t>
    </r>
    <phoneticPr fontId="2" type="noConversion"/>
  </si>
  <si>
    <r>
      <rPr>
        <b/>
        <sz val="10"/>
        <color rgb="FFC00000"/>
        <rFont val="宋体"/>
        <family val="3"/>
        <charset val="134"/>
      </rPr>
      <t>氧化钾</t>
    </r>
    <r>
      <rPr>
        <b/>
        <sz val="10"/>
        <color rgb="FFC00000"/>
        <rFont val="Times New Roman"/>
        <family val="1"/>
      </rPr>
      <t>(K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O)</t>
    </r>
    <phoneticPr fontId="2" type="noConversion"/>
  </si>
  <si>
    <r>
      <rPr>
        <b/>
        <sz val="10"/>
        <color rgb="FFC00000"/>
        <rFont val="宋体"/>
        <family val="3"/>
        <charset val="134"/>
      </rPr>
      <t>氧化钙</t>
    </r>
    <r>
      <rPr>
        <b/>
        <sz val="10"/>
        <color rgb="FFC00000"/>
        <rFont val="Times New Roman"/>
        <family val="1"/>
      </rPr>
      <t>(CaO)</t>
    </r>
    <phoneticPr fontId="2" type="noConversion"/>
  </si>
  <si>
    <r>
      <rPr>
        <b/>
        <sz val="10"/>
        <color rgb="FFC00000"/>
        <rFont val="宋体"/>
        <family val="3"/>
        <charset val="134"/>
      </rPr>
      <t>氧化镁</t>
    </r>
    <r>
      <rPr>
        <b/>
        <sz val="10"/>
        <color rgb="FFC00000"/>
        <rFont val="Times New Roman"/>
        <family val="1"/>
      </rPr>
      <t>(MgO)</t>
    </r>
    <phoneticPr fontId="2" type="noConversion"/>
  </si>
  <si>
    <r>
      <rPr>
        <b/>
        <sz val="10"/>
        <color rgb="FFC00000"/>
        <rFont val="宋体"/>
        <family val="3"/>
        <charset val="134"/>
      </rPr>
      <t>氧化铝</t>
    </r>
    <r>
      <rPr>
        <b/>
        <sz val="10"/>
        <color rgb="FFC00000"/>
        <rFont val="Times New Roman"/>
        <family val="1"/>
      </rPr>
      <t>(Al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3</t>
    </r>
    <r>
      <rPr>
        <b/>
        <sz val="10"/>
        <color rgb="FFC00000"/>
        <rFont val="Times New Roman"/>
        <family val="1"/>
      </rPr>
      <t>)</t>
    </r>
    <phoneticPr fontId="2" type="noConversion"/>
  </si>
  <si>
    <r>
      <rPr>
        <b/>
        <sz val="10"/>
        <color rgb="FFC00000"/>
        <rFont val="宋体"/>
        <family val="3"/>
        <charset val="134"/>
      </rPr>
      <t>氧化铁</t>
    </r>
    <r>
      <rPr>
        <b/>
        <sz val="10"/>
        <color rgb="FFC00000"/>
        <rFont val="Times New Roman"/>
        <family val="1"/>
      </rPr>
      <t>(Fe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3</t>
    </r>
    <r>
      <rPr>
        <b/>
        <sz val="10"/>
        <color rgb="FFC00000"/>
        <rFont val="Times New Roman"/>
        <family val="1"/>
      </rPr>
      <t>)</t>
    </r>
    <phoneticPr fontId="2" type="noConversion"/>
  </si>
  <si>
    <r>
      <rPr>
        <b/>
        <sz val="10"/>
        <color rgb="FFC00000"/>
        <rFont val="宋体"/>
        <family val="3"/>
        <charset val="134"/>
      </rPr>
      <t>氧化铜</t>
    </r>
    <r>
      <rPr>
        <b/>
        <sz val="10"/>
        <color rgb="FFC00000"/>
        <rFont val="Times New Roman"/>
        <family val="1"/>
      </rPr>
      <t>(CuO)</t>
    </r>
    <phoneticPr fontId="2" type="noConversion"/>
  </si>
  <si>
    <r>
      <rPr>
        <b/>
        <sz val="10"/>
        <color rgb="FFC00000"/>
        <rFont val="宋体"/>
        <family val="3"/>
        <charset val="134"/>
      </rPr>
      <t>氧化铅</t>
    </r>
    <r>
      <rPr>
        <b/>
        <sz val="10"/>
        <color rgb="FFC00000"/>
        <rFont val="Times New Roman"/>
        <family val="1"/>
      </rPr>
      <t>(PbO)</t>
    </r>
    <phoneticPr fontId="2" type="noConversion"/>
  </si>
  <si>
    <r>
      <rPr>
        <b/>
        <sz val="10"/>
        <color rgb="FFC00000"/>
        <rFont val="宋体"/>
        <family val="3"/>
        <charset val="134"/>
      </rPr>
      <t>氧化钡</t>
    </r>
    <r>
      <rPr>
        <b/>
        <sz val="10"/>
        <color rgb="FFC00000"/>
        <rFont val="Times New Roman"/>
        <family val="1"/>
      </rPr>
      <t>(BaO)</t>
    </r>
    <phoneticPr fontId="2" type="noConversion"/>
  </si>
  <si>
    <r>
      <rPr>
        <b/>
        <sz val="10"/>
        <color rgb="FFC00000"/>
        <rFont val="宋体"/>
        <family val="3"/>
        <charset val="134"/>
      </rPr>
      <t>五氧化二磷</t>
    </r>
    <r>
      <rPr>
        <b/>
        <sz val="10"/>
        <color rgb="FFC00000"/>
        <rFont val="Times New Roman"/>
        <family val="1"/>
      </rPr>
      <t>(P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5</t>
    </r>
    <r>
      <rPr>
        <b/>
        <sz val="10"/>
        <color rgb="FFC00000"/>
        <rFont val="Times New Roman"/>
        <family val="1"/>
      </rPr>
      <t>)</t>
    </r>
    <phoneticPr fontId="2" type="noConversion"/>
  </si>
  <si>
    <r>
      <rPr>
        <b/>
        <sz val="10"/>
        <color rgb="FFC00000"/>
        <rFont val="宋体"/>
        <family val="3"/>
        <charset val="134"/>
      </rPr>
      <t>氧化锶</t>
    </r>
    <r>
      <rPr>
        <b/>
        <sz val="10"/>
        <color rgb="FFC00000"/>
        <rFont val="Times New Roman"/>
        <family val="1"/>
      </rPr>
      <t>(SrO)</t>
    </r>
    <phoneticPr fontId="2" type="noConversion"/>
  </si>
  <si>
    <r>
      <rPr>
        <b/>
        <sz val="10"/>
        <color rgb="FFC00000"/>
        <rFont val="宋体"/>
        <family val="3"/>
        <charset val="134"/>
      </rPr>
      <t>氧化锡</t>
    </r>
    <r>
      <rPr>
        <b/>
        <sz val="10"/>
        <color rgb="FFC00000"/>
        <rFont val="Times New Roman"/>
        <family val="1"/>
      </rPr>
      <t>(SnO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2" type="noConversion"/>
  </si>
  <si>
    <r>
      <rPr>
        <b/>
        <sz val="10"/>
        <color rgb="FFC00000"/>
        <rFont val="宋体"/>
        <family val="3"/>
        <charset val="134"/>
      </rPr>
      <t>二氧化硫</t>
    </r>
    <r>
      <rPr>
        <b/>
        <sz val="10"/>
        <color rgb="FFC00000"/>
        <rFont val="Times New Roman"/>
        <family val="1"/>
      </rPr>
      <t>(SO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2" type="noConversion"/>
  </si>
  <si>
    <t>01</t>
    <phoneticPr fontId="2" type="noConversion"/>
  </si>
  <si>
    <t>03部位1</t>
    <phoneticPr fontId="2" type="noConversion"/>
  </si>
  <si>
    <t>03部位2</t>
    <phoneticPr fontId="2" type="noConversion"/>
  </si>
  <si>
    <t>04</t>
    <phoneticPr fontId="2" type="noConversion"/>
  </si>
  <si>
    <t>05</t>
    <phoneticPr fontId="2" type="noConversion"/>
  </si>
  <si>
    <t>06部位1</t>
    <phoneticPr fontId="2" type="noConversion"/>
  </si>
  <si>
    <t>06部位2</t>
    <phoneticPr fontId="2" type="noConversion"/>
  </si>
  <si>
    <t>13</t>
    <phoneticPr fontId="2" type="noConversion"/>
  </si>
  <si>
    <t>14</t>
  </si>
  <si>
    <t>15</t>
  </si>
  <si>
    <t>16</t>
  </si>
  <si>
    <t>17</t>
  </si>
  <si>
    <t>18</t>
  </si>
  <si>
    <t>21</t>
    <phoneticPr fontId="2" type="noConversion"/>
  </si>
  <si>
    <t>07</t>
    <phoneticPr fontId="2" type="noConversion"/>
  </si>
  <si>
    <t>09</t>
    <phoneticPr fontId="2" type="noConversion"/>
  </si>
  <si>
    <t>10</t>
    <phoneticPr fontId="2" type="noConversion"/>
  </si>
  <si>
    <t>12</t>
    <phoneticPr fontId="2" type="noConversion"/>
  </si>
  <si>
    <t>22</t>
    <phoneticPr fontId="2" type="noConversion"/>
  </si>
  <si>
    <t>27</t>
    <phoneticPr fontId="2" type="noConversion"/>
  </si>
  <si>
    <t>02</t>
    <phoneticPr fontId="2" type="noConversion"/>
  </si>
  <si>
    <t>08</t>
    <phoneticPr fontId="2" type="noConversion"/>
  </si>
  <si>
    <t>08严重风化点</t>
    <phoneticPr fontId="2" type="noConversion"/>
  </si>
  <si>
    <t>11</t>
    <phoneticPr fontId="2" type="noConversion"/>
  </si>
  <si>
    <t>19</t>
  </si>
  <si>
    <t>23未风化点</t>
    <phoneticPr fontId="2" type="noConversion"/>
  </si>
  <si>
    <t>25未风化点</t>
    <phoneticPr fontId="2" type="noConversion"/>
  </si>
  <si>
    <t>26</t>
    <phoneticPr fontId="2" type="noConversion"/>
  </si>
  <si>
    <t>26严重风化点</t>
    <phoneticPr fontId="2" type="noConversion"/>
  </si>
  <si>
    <t>28未风化点</t>
    <phoneticPr fontId="2" type="noConversion"/>
  </si>
  <si>
    <t>29未风化点</t>
    <phoneticPr fontId="2" type="noConversion"/>
  </si>
  <si>
    <t>34</t>
    <phoneticPr fontId="2" type="noConversion"/>
  </si>
  <si>
    <t>36</t>
  </si>
  <si>
    <t>38</t>
  </si>
  <si>
    <t>39</t>
  </si>
  <si>
    <t>40</t>
  </si>
  <si>
    <t>41</t>
  </si>
  <si>
    <t>42未风化点1</t>
    <phoneticPr fontId="2" type="noConversion"/>
  </si>
  <si>
    <t>42未风化点2</t>
    <phoneticPr fontId="2" type="noConversion"/>
  </si>
  <si>
    <t>43部位1</t>
    <phoneticPr fontId="2" type="noConversion"/>
  </si>
  <si>
    <t>43部位2</t>
    <phoneticPr fontId="2" type="noConversion"/>
  </si>
  <si>
    <t>44未风化点</t>
    <phoneticPr fontId="2" type="noConversion"/>
  </si>
  <si>
    <t>48</t>
  </si>
  <si>
    <t>49</t>
    <phoneticPr fontId="2" type="noConversion"/>
  </si>
  <si>
    <t>49未风化点</t>
    <phoneticPr fontId="2" type="noConversion"/>
  </si>
  <si>
    <t>50</t>
    <phoneticPr fontId="2" type="noConversion"/>
  </si>
  <si>
    <t>50未风化点</t>
    <phoneticPr fontId="2" type="noConversion"/>
  </si>
  <si>
    <t>51部位1</t>
    <phoneticPr fontId="2" type="noConversion"/>
  </si>
  <si>
    <t>51部位2</t>
    <phoneticPr fontId="2" type="noConversion"/>
  </si>
  <si>
    <t>52</t>
    <phoneticPr fontId="2" type="noConversion"/>
  </si>
  <si>
    <t>53未风化点</t>
    <phoneticPr fontId="2" type="noConversion"/>
  </si>
  <si>
    <t>54</t>
    <phoneticPr fontId="2" type="noConversion"/>
  </si>
  <si>
    <t>54严重风化点</t>
    <phoneticPr fontId="2" type="noConversion"/>
  </si>
  <si>
    <t>56</t>
  </si>
  <si>
    <t>57</t>
  </si>
  <si>
    <t>58</t>
  </si>
  <si>
    <t>20</t>
  </si>
  <si>
    <t>24</t>
  </si>
  <si>
    <t>30部位1</t>
    <phoneticPr fontId="2" type="noConversion"/>
  </si>
  <si>
    <t>30部位2</t>
    <phoneticPr fontId="2" type="noConversion"/>
  </si>
  <si>
    <t>31</t>
    <phoneticPr fontId="2" type="noConversion"/>
  </si>
  <si>
    <t>32</t>
    <phoneticPr fontId="2" type="noConversion"/>
  </si>
  <si>
    <t>33</t>
    <phoneticPr fontId="2" type="noConversion"/>
  </si>
  <si>
    <t>35</t>
  </si>
  <si>
    <t>37</t>
    <phoneticPr fontId="2" type="noConversion"/>
  </si>
  <si>
    <t>45</t>
  </si>
  <si>
    <t>46</t>
  </si>
  <si>
    <t>47</t>
  </si>
  <si>
    <t>55</t>
    <phoneticPr fontId="2" type="noConversion"/>
  </si>
  <si>
    <t>二氧化硅</t>
    <phoneticPr fontId="2" type="noConversion"/>
  </si>
  <si>
    <t>氧化钾</t>
    <phoneticPr fontId="2" type="noConversion"/>
  </si>
  <si>
    <t>氧化钙</t>
    <phoneticPr fontId="2" type="noConversion"/>
  </si>
  <si>
    <t>氧化镁</t>
    <phoneticPr fontId="2" type="noConversion"/>
  </si>
  <si>
    <t>氧化铝</t>
    <phoneticPr fontId="2" type="noConversion"/>
  </si>
  <si>
    <t>氧化铁</t>
    <phoneticPr fontId="2" type="noConversion"/>
  </si>
  <si>
    <t>氧化铜</t>
    <phoneticPr fontId="2" type="noConversion"/>
  </si>
  <si>
    <t>五氧化二磷</t>
    <phoneticPr fontId="2" type="noConversion"/>
  </si>
  <si>
    <t>氧化钠</t>
    <phoneticPr fontId="2" type="noConversion"/>
  </si>
  <si>
    <t>氧化铅</t>
    <phoneticPr fontId="2" type="noConversion"/>
  </si>
  <si>
    <t>氧化钡</t>
    <phoneticPr fontId="2" type="noConversion"/>
  </si>
  <si>
    <t>氧化锶</t>
    <phoneticPr fontId="2" type="noConversion"/>
  </si>
  <si>
    <t>氧化锡</t>
    <phoneticPr fontId="2" type="noConversion"/>
  </si>
  <si>
    <t>二氧化硫</t>
    <phoneticPr fontId="2" type="noConversion"/>
  </si>
  <si>
    <t>总计</t>
  </si>
  <si>
    <t>总计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</si>
</sst>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b/>
      <sz val="10"/>
      <color rgb="FFC0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C00000"/>
      <name val="Times New Roman"/>
      <family val="3"/>
      <charset val="134"/>
    </font>
    <font>
      <b/>
      <sz val="10"/>
      <color rgb="FFC00000"/>
      <name val="宋体"/>
      <family val="3"/>
      <charset val="134"/>
    </font>
    <font>
      <b/>
      <sz val="10"/>
      <color rgb="FFC00000"/>
      <name val="Times New Roman"/>
      <family val="1"/>
    </font>
    <font>
      <b/>
      <vertAlign val="subscript"/>
      <sz val="10"/>
      <color rgb="FFC00000"/>
      <name val="Times New Roman"/>
      <family val="1"/>
    </font>
    <font>
      <sz val="10"/>
      <color theme="1"/>
      <name val="等线"/>
      <family val="2"/>
      <charset val="134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49" fontId="7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>
      <alignment vertical="center"/>
    </xf>
    <xf numFmtId="49" fontId="7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FB86-4041-4FF4-9442-824D1AE3C6A2}">
  <dimension ref="A1:AA23"/>
  <sheetViews>
    <sheetView workbookViewId="0">
      <selection activeCell="A13" sqref="A13:O13"/>
    </sheetView>
  </sheetViews>
  <sheetFormatPr defaultRowHeight="14" x14ac:dyDescent="0.3"/>
  <cols>
    <col min="16" max="27" width="8.6640625" style="8"/>
  </cols>
  <sheetData>
    <row r="1" spans="1:27" ht="2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27" x14ac:dyDescent="0.3">
      <c r="A2" s="3" t="s">
        <v>15</v>
      </c>
      <c r="B2" s="4">
        <v>69.33</v>
      </c>
      <c r="C2" s="4">
        <v>0</v>
      </c>
      <c r="D2" s="4">
        <v>9.99</v>
      </c>
      <c r="E2" s="4">
        <v>6.32</v>
      </c>
      <c r="F2" s="4">
        <v>0.87</v>
      </c>
      <c r="G2" s="4">
        <v>3.93</v>
      </c>
      <c r="H2" s="4">
        <v>1.74</v>
      </c>
      <c r="I2" s="4">
        <v>3.87</v>
      </c>
      <c r="J2" s="4">
        <v>0</v>
      </c>
      <c r="K2" s="4">
        <v>0</v>
      </c>
      <c r="L2" s="4">
        <v>1.17</v>
      </c>
      <c r="M2" s="4">
        <v>0</v>
      </c>
      <c r="N2" s="4">
        <v>0</v>
      </c>
      <c r="O2" s="4">
        <v>0.39</v>
      </c>
    </row>
    <row r="3" spans="1:27" x14ac:dyDescent="0.3">
      <c r="A3" s="12" t="s">
        <v>16</v>
      </c>
      <c r="B3" s="10">
        <v>87.05</v>
      </c>
      <c r="C3" s="10">
        <v>0</v>
      </c>
      <c r="D3" s="10">
        <v>5.19</v>
      </c>
      <c r="E3" s="10">
        <v>2.0099999999999998</v>
      </c>
      <c r="F3" s="10">
        <v>0</v>
      </c>
      <c r="G3" s="10">
        <v>4.0599999999999996</v>
      </c>
      <c r="H3" s="10">
        <v>0</v>
      </c>
      <c r="I3" s="10">
        <v>0.78</v>
      </c>
      <c r="J3" s="10">
        <v>0.25</v>
      </c>
      <c r="K3" s="10">
        <v>0</v>
      </c>
      <c r="L3" s="10">
        <v>0.66</v>
      </c>
      <c r="M3" s="10">
        <v>0</v>
      </c>
      <c r="N3" s="10">
        <v>0</v>
      </c>
      <c r="O3" s="10">
        <v>0</v>
      </c>
    </row>
    <row r="4" spans="1:27" x14ac:dyDescent="0.3">
      <c r="A4" s="3" t="s">
        <v>17</v>
      </c>
      <c r="B4" s="4">
        <v>61.71</v>
      </c>
      <c r="C4" s="4">
        <v>0</v>
      </c>
      <c r="D4" s="4">
        <v>12.37</v>
      </c>
      <c r="E4" s="4">
        <v>5.87</v>
      </c>
      <c r="F4" s="4">
        <v>1.1100000000000001</v>
      </c>
      <c r="G4" s="4">
        <v>5.5</v>
      </c>
      <c r="H4" s="4">
        <v>2.16</v>
      </c>
      <c r="I4" s="4">
        <v>5.09</v>
      </c>
      <c r="J4" s="4">
        <v>1.41</v>
      </c>
      <c r="K4" s="4">
        <v>2.86</v>
      </c>
      <c r="L4" s="4">
        <v>0.7</v>
      </c>
      <c r="M4" s="4">
        <v>0.1</v>
      </c>
      <c r="N4" s="4">
        <v>0</v>
      </c>
      <c r="O4" s="4">
        <v>0</v>
      </c>
    </row>
    <row r="5" spans="1:27" x14ac:dyDescent="0.3">
      <c r="A5" s="3" t="s">
        <v>18</v>
      </c>
      <c r="B5" s="4">
        <v>65.88</v>
      </c>
      <c r="C5" s="4">
        <v>0</v>
      </c>
      <c r="D5" s="4">
        <v>9.67</v>
      </c>
      <c r="E5" s="4">
        <v>7.12</v>
      </c>
      <c r="F5" s="4">
        <v>1.56</v>
      </c>
      <c r="G5" s="4">
        <v>6.44</v>
      </c>
      <c r="H5" s="4">
        <v>2.06</v>
      </c>
      <c r="I5" s="4">
        <v>2.1800000000000002</v>
      </c>
      <c r="J5" s="4">
        <v>0</v>
      </c>
      <c r="K5" s="4">
        <v>0</v>
      </c>
      <c r="L5" s="4">
        <v>0.79</v>
      </c>
      <c r="M5" s="4">
        <v>0</v>
      </c>
      <c r="N5" s="4">
        <v>0</v>
      </c>
      <c r="O5" s="4">
        <v>0.36</v>
      </c>
    </row>
    <row r="6" spans="1:27" x14ac:dyDescent="0.3">
      <c r="A6" s="3" t="s">
        <v>19</v>
      </c>
      <c r="B6" s="4">
        <v>61.58</v>
      </c>
      <c r="C6" s="4">
        <v>0</v>
      </c>
      <c r="D6" s="4">
        <v>10.95</v>
      </c>
      <c r="E6" s="4">
        <v>7.35</v>
      </c>
      <c r="F6" s="4">
        <v>1.77</v>
      </c>
      <c r="G6" s="4">
        <v>7.5</v>
      </c>
      <c r="H6" s="4">
        <v>2.62</v>
      </c>
      <c r="I6" s="4">
        <v>3.27</v>
      </c>
      <c r="J6" s="4">
        <v>0</v>
      </c>
      <c r="K6" s="4">
        <v>0</v>
      </c>
      <c r="L6" s="4">
        <v>0.94</v>
      </c>
      <c r="M6" s="4">
        <v>0.06</v>
      </c>
      <c r="N6" s="4">
        <v>0</v>
      </c>
      <c r="O6" s="4">
        <v>0.47</v>
      </c>
    </row>
    <row r="7" spans="1:27" x14ac:dyDescent="0.3">
      <c r="A7" s="3" t="s">
        <v>20</v>
      </c>
      <c r="B7" s="4">
        <v>67.650000000000006</v>
      </c>
      <c r="C7" s="4">
        <v>0</v>
      </c>
      <c r="D7" s="4">
        <v>7.37</v>
      </c>
      <c r="E7" s="4">
        <v>0</v>
      </c>
      <c r="F7" s="4">
        <v>1.98</v>
      </c>
      <c r="G7" s="4">
        <v>11.15</v>
      </c>
      <c r="H7" s="4">
        <v>2.39</v>
      </c>
      <c r="I7" s="4">
        <v>2.5099999999999998</v>
      </c>
      <c r="J7" s="4">
        <v>0.2</v>
      </c>
      <c r="K7" s="4">
        <v>1.38</v>
      </c>
      <c r="L7" s="4">
        <v>4.18</v>
      </c>
      <c r="M7" s="4">
        <v>0.11</v>
      </c>
      <c r="N7" s="4">
        <v>0</v>
      </c>
      <c r="O7" s="4">
        <v>0</v>
      </c>
    </row>
    <row r="8" spans="1:27" s="6" customFormat="1" x14ac:dyDescent="0.3">
      <c r="A8" s="3" t="s">
        <v>21</v>
      </c>
      <c r="B8" s="4">
        <v>59.81</v>
      </c>
      <c r="C8" s="4">
        <v>0</v>
      </c>
      <c r="D8" s="4">
        <v>7.68</v>
      </c>
      <c r="E8" s="4">
        <v>5.41</v>
      </c>
      <c r="F8" s="4">
        <v>1.73</v>
      </c>
      <c r="G8" s="4">
        <v>10.050000000000001</v>
      </c>
      <c r="H8" s="4">
        <v>6.04</v>
      </c>
      <c r="I8" s="4">
        <v>2.1800000000000002</v>
      </c>
      <c r="J8" s="4">
        <v>0.35</v>
      </c>
      <c r="K8" s="4">
        <v>0.97</v>
      </c>
      <c r="L8" s="4">
        <v>4.5</v>
      </c>
      <c r="M8" s="4">
        <v>0.12</v>
      </c>
      <c r="N8" s="4">
        <v>0</v>
      </c>
      <c r="O8" s="4">
        <v>0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s="8" customFormat="1" x14ac:dyDescent="0.3">
      <c r="A9" s="9" t="s">
        <v>22</v>
      </c>
      <c r="B9" s="10">
        <v>59.01</v>
      </c>
      <c r="C9" s="10">
        <v>2.86</v>
      </c>
      <c r="D9" s="10">
        <v>12.53</v>
      </c>
      <c r="E9" s="10">
        <v>8.6999999999999993</v>
      </c>
      <c r="F9" s="10">
        <v>0</v>
      </c>
      <c r="G9" s="10">
        <v>6.16</v>
      </c>
      <c r="H9" s="10">
        <v>2.88</v>
      </c>
      <c r="I9" s="10">
        <v>4.7300000000000004</v>
      </c>
      <c r="J9" s="10">
        <v>0</v>
      </c>
      <c r="K9" s="10">
        <v>0</v>
      </c>
      <c r="L9" s="10">
        <v>1.27</v>
      </c>
      <c r="M9" s="10">
        <v>0</v>
      </c>
      <c r="N9" s="10">
        <v>0</v>
      </c>
      <c r="O9" s="11">
        <v>0</v>
      </c>
    </row>
    <row r="10" spans="1:27" s="8" customFormat="1" x14ac:dyDescent="0.3">
      <c r="A10" s="9" t="s">
        <v>23</v>
      </c>
      <c r="B10" s="10">
        <v>62.47</v>
      </c>
      <c r="C10" s="10">
        <v>3.38</v>
      </c>
      <c r="D10" s="10">
        <v>12.28</v>
      </c>
      <c r="E10" s="10">
        <v>8.23</v>
      </c>
      <c r="F10" s="10">
        <v>0.66</v>
      </c>
      <c r="G10" s="10">
        <v>9.23</v>
      </c>
      <c r="H10" s="10">
        <v>0.5</v>
      </c>
      <c r="I10" s="10">
        <v>0.47</v>
      </c>
      <c r="J10" s="10">
        <v>1.62</v>
      </c>
      <c r="K10" s="10">
        <v>0</v>
      </c>
      <c r="L10" s="10">
        <v>0.16</v>
      </c>
      <c r="M10" s="10">
        <v>0</v>
      </c>
      <c r="N10" s="10">
        <v>0</v>
      </c>
      <c r="O10" s="11">
        <v>0</v>
      </c>
    </row>
    <row r="11" spans="1:27" x14ac:dyDescent="0.3">
      <c r="A11" s="9" t="s">
        <v>24</v>
      </c>
      <c r="B11" s="10">
        <v>61.87</v>
      </c>
      <c r="C11" s="10">
        <v>3.21</v>
      </c>
      <c r="D11" s="10">
        <v>7.44</v>
      </c>
      <c r="E11" s="10">
        <v>0</v>
      </c>
      <c r="F11" s="10">
        <v>1.02</v>
      </c>
      <c r="G11" s="10">
        <v>3.15</v>
      </c>
      <c r="H11" s="10">
        <v>1.04</v>
      </c>
      <c r="I11" s="10">
        <v>1.29</v>
      </c>
      <c r="J11" s="10">
        <v>0.19</v>
      </c>
      <c r="K11" s="10">
        <v>0</v>
      </c>
      <c r="L11" s="10">
        <v>0.26</v>
      </c>
      <c r="M11" s="10">
        <v>0</v>
      </c>
      <c r="N11" s="10">
        <v>0</v>
      </c>
      <c r="O11" s="11">
        <v>0</v>
      </c>
    </row>
    <row r="12" spans="1:27" s="8" customFormat="1" x14ac:dyDescent="0.3">
      <c r="A12" s="3" t="s">
        <v>25</v>
      </c>
      <c r="B12" s="4">
        <v>65.180000000000007</v>
      </c>
      <c r="C12" s="4">
        <v>2.1</v>
      </c>
      <c r="D12" s="4">
        <v>14.52</v>
      </c>
      <c r="E12" s="4">
        <v>8.27</v>
      </c>
      <c r="F12" s="4">
        <v>0.52</v>
      </c>
      <c r="G12" s="4">
        <v>6.18</v>
      </c>
      <c r="H12" s="4">
        <v>0.42</v>
      </c>
      <c r="I12" s="4">
        <v>1.07</v>
      </c>
      <c r="J12" s="4">
        <v>0.11</v>
      </c>
      <c r="K12" s="4">
        <v>0</v>
      </c>
      <c r="L12" s="4">
        <v>0</v>
      </c>
      <c r="M12" s="4">
        <v>0.04</v>
      </c>
      <c r="N12" s="4">
        <v>0</v>
      </c>
      <c r="O12" s="5">
        <v>0</v>
      </c>
    </row>
    <row r="13" spans="1:27" x14ac:dyDescent="0.3">
      <c r="A13" s="9" t="s">
        <v>26</v>
      </c>
      <c r="B13" s="10">
        <v>60.71</v>
      </c>
      <c r="C13" s="10">
        <v>2.12</v>
      </c>
      <c r="D13" s="10">
        <v>5.71</v>
      </c>
      <c r="E13" s="10">
        <v>0</v>
      </c>
      <c r="F13" s="10">
        <v>0.85</v>
      </c>
      <c r="G13" s="10">
        <v>0</v>
      </c>
      <c r="H13" s="10">
        <v>1.04</v>
      </c>
      <c r="I13" s="10">
        <v>1.0900000000000001</v>
      </c>
      <c r="J13" s="10">
        <v>0.19</v>
      </c>
      <c r="K13" s="10">
        <v>0</v>
      </c>
      <c r="L13" s="10">
        <v>0.18</v>
      </c>
      <c r="M13" s="10">
        <v>0</v>
      </c>
      <c r="N13" s="10">
        <v>0</v>
      </c>
      <c r="O13" s="11">
        <v>0</v>
      </c>
    </row>
    <row r="14" spans="1:27" s="8" customFormat="1" x14ac:dyDescent="0.3">
      <c r="A14" s="3" t="s">
        <v>27</v>
      </c>
      <c r="B14" s="4">
        <v>79.459999999999994</v>
      </c>
      <c r="C14" s="4">
        <v>0</v>
      </c>
      <c r="D14" s="4">
        <v>9.42</v>
      </c>
      <c r="E14" s="4">
        <v>0</v>
      </c>
      <c r="F14" s="4">
        <v>1.53</v>
      </c>
      <c r="G14" s="4">
        <v>3.05</v>
      </c>
      <c r="H14" s="4">
        <v>0</v>
      </c>
      <c r="I14" s="4">
        <v>0</v>
      </c>
      <c r="J14" s="4">
        <v>0</v>
      </c>
      <c r="K14" s="4">
        <v>0</v>
      </c>
      <c r="L14" s="4">
        <v>1.36</v>
      </c>
      <c r="M14" s="4">
        <v>7.0000000000000007E-2</v>
      </c>
      <c r="N14" s="4">
        <v>2.36</v>
      </c>
      <c r="O14" s="5">
        <v>0</v>
      </c>
    </row>
    <row r="15" spans="1:27" x14ac:dyDescent="0.3">
      <c r="A15" s="9" t="s">
        <v>28</v>
      </c>
      <c r="B15" s="10">
        <v>76.680000000000007</v>
      </c>
      <c r="C15" s="10">
        <v>0</v>
      </c>
      <c r="D15" s="10">
        <v>0</v>
      </c>
      <c r="E15" s="10">
        <v>4.71</v>
      </c>
      <c r="F15" s="10">
        <v>1.22</v>
      </c>
      <c r="G15" s="10">
        <v>6.19</v>
      </c>
      <c r="H15" s="10">
        <v>2.37</v>
      </c>
      <c r="I15" s="10">
        <v>3.28</v>
      </c>
      <c r="J15" s="10">
        <v>1</v>
      </c>
      <c r="K15" s="10">
        <v>1.97</v>
      </c>
      <c r="L15" s="10">
        <v>1.1000000000000001</v>
      </c>
      <c r="M15" s="10">
        <v>0</v>
      </c>
      <c r="N15" s="10">
        <v>0</v>
      </c>
      <c r="O15" s="10">
        <v>0</v>
      </c>
    </row>
    <row r="18" spans="2:15" x14ac:dyDescent="0.3">
      <c r="B18">
        <v>59.01</v>
      </c>
      <c r="C18">
        <v>2.86</v>
      </c>
      <c r="D18">
        <v>12.53</v>
      </c>
      <c r="E18">
        <v>8.6999999999999993</v>
      </c>
      <c r="F18">
        <v>0</v>
      </c>
      <c r="G18">
        <v>6.16</v>
      </c>
      <c r="H18">
        <v>2.88</v>
      </c>
      <c r="I18">
        <v>4.7300000000000004</v>
      </c>
      <c r="J18">
        <v>0</v>
      </c>
      <c r="K18">
        <v>0</v>
      </c>
      <c r="L18">
        <v>1.27</v>
      </c>
      <c r="M18">
        <v>0</v>
      </c>
      <c r="N18">
        <v>0</v>
      </c>
      <c r="O18">
        <v>0</v>
      </c>
    </row>
    <row r="19" spans="2:15" x14ac:dyDescent="0.3">
      <c r="B19">
        <v>59.01</v>
      </c>
      <c r="C19">
        <v>2.86</v>
      </c>
      <c r="D19">
        <v>12.53</v>
      </c>
      <c r="E19">
        <v>8.6999999999999993</v>
      </c>
      <c r="F19">
        <v>0</v>
      </c>
      <c r="G19">
        <v>6.16</v>
      </c>
      <c r="H19">
        <v>2.88</v>
      </c>
      <c r="I19">
        <v>4.7300000000000004</v>
      </c>
      <c r="J19">
        <v>0</v>
      </c>
      <c r="K19">
        <v>0</v>
      </c>
      <c r="L19">
        <v>1.27</v>
      </c>
      <c r="M19">
        <v>0</v>
      </c>
      <c r="N19">
        <v>0</v>
      </c>
      <c r="O19">
        <v>0</v>
      </c>
    </row>
    <row r="20" spans="2:15" x14ac:dyDescent="0.3">
      <c r="B20">
        <v>59.01</v>
      </c>
      <c r="C20">
        <v>2.86</v>
      </c>
      <c r="D20">
        <v>12.53</v>
      </c>
      <c r="E20">
        <v>8.6999999999999993</v>
      </c>
      <c r="F20">
        <v>0</v>
      </c>
      <c r="G20">
        <v>6.16</v>
      </c>
      <c r="H20">
        <v>2.88</v>
      </c>
      <c r="I20">
        <v>4.7300000000000004</v>
      </c>
      <c r="J20">
        <v>0</v>
      </c>
      <c r="K20">
        <v>0</v>
      </c>
      <c r="L20">
        <v>1.27</v>
      </c>
      <c r="M20">
        <v>0</v>
      </c>
      <c r="N20">
        <v>0</v>
      </c>
      <c r="O20">
        <v>0</v>
      </c>
    </row>
    <row r="21" spans="2:15" x14ac:dyDescent="0.3">
      <c r="B21">
        <v>59.01</v>
      </c>
      <c r="C21">
        <v>2.86</v>
      </c>
      <c r="D21">
        <v>12.53</v>
      </c>
      <c r="E21">
        <v>8.6999999999999993</v>
      </c>
      <c r="F21">
        <v>0</v>
      </c>
      <c r="G21">
        <v>6.16</v>
      </c>
      <c r="H21">
        <v>2.88</v>
      </c>
      <c r="I21">
        <v>4.7300000000000004</v>
      </c>
      <c r="J21">
        <v>0</v>
      </c>
      <c r="K21">
        <v>0</v>
      </c>
      <c r="L21">
        <v>1.27</v>
      </c>
      <c r="M21">
        <v>0</v>
      </c>
      <c r="N21">
        <v>0</v>
      </c>
      <c r="O21">
        <v>0</v>
      </c>
    </row>
    <row r="22" spans="2:15" x14ac:dyDescent="0.3">
      <c r="B22">
        <v>65.88</v>
      </c>
      <c r="C22">
        <v>1</v>
      </c>
      <c r="D22">
        <v>9.67</v>
      </c>
      <c r="E22">
        <v>8.1199999999999992</v>
      </c>
      <c r="F22">
        <v>0.87</v>
      </c>
      <c r="G22">
        <v>3.93</v>
      </c>
      <c r="H22">
        <v>1.74</v>
      </c>
      <c r="I22">
        <v>4.87</v>
      </c>
      <c r="J22">
        <v>0</v>
      </c>
      <c r="K22">
        <v>0</v>
      </c>
      <c r="L22">
        <v>2.17</v>
      </c>
      <c r="M22">
        <v>1</v>
      </c>
      <c r="N22">
        <v>1</v>
      </c>
      <c r="O22">
        <v>0.36</v>
      </c>
    </row>
    <row r="23" spans="2:15" x14ac:dyDescent="0.3">
      <c r="B23">
        <v>65.88</v>
      </c>
      <c r="C23">
        <v>1</v>
      </c>
      <c r="D23">
        <v>10.99</v>
      </c>
      <c r="E23">
        <v>4.71</v>
      </c>
      <c r="F23">
        <v>0.87</v>
      </c>
      <c r="G23">
        <v>3.93</v>
      </c>
      <c r="H23">
        <v>1.74</v>
      </c>
      <c r="I23">
        <v>4.87</v>
      </c>
      <c r="J23">
        <v>0</v>
      </c>
      <c r="K23">
        <v>2.97</v>
      </c>
      <c r="L23">
        <v>0.79</v>
      </c>
      <c r="M23">
        <v>1</v>
      </c>
      <c r="N23">
        <v>1</v>
      </c>
      <c r="O23">
        <v>1.39</v>
      </c>
    </row>
  </sheetData>
  <phoneticPr fontId="2" type="noConversion"/>
  <conditionalFormatting sqref="B2:O2 B4:O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{DD0CE889-D5C6-489A-A3E2-C3B4825B4092}</x14:id>
        </ext>
      </extLst>
    </cfRule>
  </conditionalFormatting>
  <conditionalFormatting sqref="B3:O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{EE61D6EC-4CC4-4683-967E-919AE64C39ED}</x14:id>
        </ext>
      </extLst>
    </cfRule>
  </conditionalFormatting>
  <conditionalFormatting sqref="B3:O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{015B318F-BF33-4E96-BE97-F02F48F06A70}</x14:id>
        </ext>
      </extLst>
    </cfRule>
  </conditionalFormatting>
  <conditionalFormatting sqref="B18:O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{B1081513-F0F2-44A3-88F6-52C26DBF4ED5}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0CE889-D5C6-489A-A3E2-C3B4825B40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B2:O2 B4:O15</xm:sqref>
        </x14:conditionalFormatting>
        <x14:conditionalFormatting xmlns:xm="http://schemas.microsoft.com/office/excel/2006/main">
          <x14:cfRule type="dataBar" id="{EE61D6EC-4CC4-4683-967E-919AE64C39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B3:O3</xm:sqref>
        </x14:conditionalFormatting>
        <x14:conditionalFormatting xmlns:xm="http://schemas.microsoft.com/office/excel/2006/main">
          <x14:cfRule type="dataBar" id="{015B318F-BF33-4E96-BE97-F02F48F06A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B3:O3</xm:sqref>
        </x14:conditionalFormatting>
        <x14:conditionalFormatting xmlns:xm="http://schemas.microsoft.com/office/excel/2006/main">
          <x14:cfRule type="dataBar" id="{B1081513-F0F2-44A3-88F6-52C26DBF4E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B18:O23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0E66-49BC-44A1-A2D4-99DDEABC4684}">
  <dimension ref="A1:P29"/>
  <sheetViews>
    <sheetView tabSelected="1" topLeftCell="A13" workbookViewId="0">
      <selection activeCell="H15" sqref="H15:H28"/>
    </sheetView>
  </sheetViews>
  <sheetFormatPr defaultRowHeight="14" x14ac:dyDescent="0.3"/>
  <cols>
    <col min="12" max="12" width="10" customWidth="1"/>
  </cols>
  <sheetData>
    <row r="1" spans="1:16" x14ac:dyDescent="0.3">
      <c r="A1" s="1" t="s">
        <v>0</v>
      </c>
      <c r="B1" s="17" t="s">
        <v>84</v>
      </c>
      <c r="C1" s="17" t="s">
        <v>92</v>
      </c>
      <c r="D1" s="17" t="s">
        <v>85</v>
      </c>
      <c r="E1" s="17" t="s">
        <v>86</v>
      </c>
      <c r="F1" s="17" t="s">
        <v>87</v>
      </c>
      <c r="G1" s="17" t="s">
        <v>88</v>
      </c>
      <c r="H1" s="17" t="s">
        <v>89</v>
      </c>
      <c r="I1" s="17" t="s">
        <v>90</v>
      </c>
      <c r="J1" s="17" t="s">
        <v>93</v>
      </c>
      <c r="K1" s="17" t="s">
        <v>94</v>
      </c>
      <c r="L1" s="17" t="s">
        <v>91</v>
      </c>
      <c r="M1" s="17" t="s">
        <v>95</v>
      </c>
      <c r="N1" s="17" t="s">
        <v>96</v>
      </c>
      <c r="O1" s="17" t="s">
        <v>97</v>
      </c>
      <c r="P1" s="20" t="s">
        <v>99</v>
      </c>
    </row>
    <row r="2" spans="1:16" x14ac:dyDescent="0.3">
      <c r="A2" s="19" t="s">
        <v>24</v>
      </c>
      <c r="B2" s="19">
        <v>61.87</v>
      </c>
      <c r="C2" s="19">
        <v>3.21</v>
      </c>
      <c r="D2" s="19">
        <v>7.44</v>
      </c>
      <c r="E2" s="19">
        <v>0</v>
      </c>
      <c r="F2" s="19">
        <v>1.02</v>
      </c>
      <c r="G2" s="19">
        <v>3.15</v>
      </c>
      <c r="H2" s="19">
        <v>1.04</v>
      </c>
      <c r="I2" s="19">
        <v>1.29</v>
      </c>
      <c r="J2" s="19">
        <v>0.19</v>
      </c>
      <c r="K2" s="19">
        <v>0</v>
      </c>
      <c r="L2" s="19">
        <v>0.26</v>
      </c>
      <c r="M2" s="19">
        <v>0</v>
      </c>
      <c r="N2" s="19">
        <v>0</v>
      </c>
      <c r="O2" s="19">
        <v>0</v>
      </c>
      <c r="P2">
        <f>SUM(B2:O2)</f>
        <v>79.470000000000013</v>
      </c>
    </row>
    <row r="3" spans="1:16" x14ac:dyDescent="0.3">
      <c r="A3" s="19" t="s">
        <v>26</v>
      </c>
      <c r="B3" s="19">
        <v>60.71</v>
      </c>
      <c r="C3" s="19">
        <v>2.12</v>
      </c>
      <c r="D3" s="19">
        <v>5.71</v>
      </c>
      <c r="E3" s="19">
        <v>0</v>
      </c>
      <c r="F3" s="19">
        <v>0.85</v>
      </c>
      <c r="G3" s="19">
        <v>0</v>
      </c>
      <c r="H3" s="19">
        <v>1.04</v>
      </c>
      <c r="I3" s="19">
        <v>1.0900000000000001</v>
      </c>
      <c r="J3" s="19">
        <v>0.19</v>
      </c>
      <c r="K3" s="19">
        <v>0</v>
      </c>
      <c r="L3" s="19">
        <v>0.18</v>
      </c>
      <c r="M3" s="19">
        <v>0</v>
      </c>
      <c r="N3" s="19">
        <v>0</v>
      </c>
      <c r="O3" s="19">
        <v>0</v>
      </c>
      <c r="P3">
        <f>SUM(B3:O3)</f>
        <v>71.89</v>
      </c>
    </row>
    <row r="6" spans="1:16" x14ac:dyDescent="0.3">
      <c r="D6" s="1" t="s">
        <v>0</v>
      </c>
      <c r="E6" t="s">
        <v>98</v>
      </c>
    </row>
    <row r="7" spans="1:16" x14ac:dyDescent="0.3">
      <c r="D7" s="19" t="s">
        <v>24</v>
      </c>
      <c r="E7">
        <v>79.470000000000013</v>
      </c>
    </row>
    <row r="8" spans="1:16" x14ac:dyDescent="0.3">
      <c r="D8" s="19" t="s">
        <v>26</v>
      </c>
      <c r="E8">
        <v>71.89</v>
      </c>
    </row>
    <row r="15" spans="1:16" x14ac:dyDescent="0.3">
      <c r="H15" s="17" t="s">
        <v>84</v>
      </c>
    </row>
    <row r="16" spans="1:16" x14ac:dyDescent="0.3">
      <c r="H16" s="17" t="s">
        <v>92</v>
      </c>
    </row>
    <row r="17" spans="8:8" x14ac:dyDescent="0.3">
      <c r="H17" s="17" t="s">
        <v>85</v>
      </c>
    </row>
    <row r="18" spans="8:8" x14ac:dyDescent="0.3">
      <c r="H18" s="17" t="s">
        <v>86</v>
      </c>
    </row>
    <row r="19" spans="8:8" x14ac:dyDescent="0.3">
      <c r="H19" s="17" t="s">
        <v>87</v>
      </c>
    </row>
    <row r="20" spans="8:8" x14ac:dyDescent="0.3">
      <c r="H20" s="17" t="s">
        <v>88</v>
      </c>
    </row>
    <row r="21" spans="8:8" x14ac:dyDescent="0.3">
      <c r="H21" s="17" t="s">
        <v>89</v>
      </c>
    </row>
    <row r="22" spans="8:8" x14ac:dyDescent="0.3">
      <c r="H22" s="17" t="s">
        <v>90</v>
      </c>
    </row>
    <row r="23" spans="8:8" x14ac:dyDescent="0.3">
      <c r="H23" s="17" t="s">
        <v>93</v>
      </c>
    </row>
    <row r="24" spans="8:8" x14ac:dyDescent="0.3">
      <c r="H24" s="17" t="s">
        <v>94</v>
      </c>
    </row>
    <row r="25" spans="8:8" ht="26" x14ac:dyDescent="0.3">
      <c r="H25" s="17" t="s">
        <v>91</v>
      </c>
    </row>
    <row r="26" spans="8:8" x14ac:dyDescent="0.3">
      <c r="H26" s="17" t="s">
        <v>95</v>
      </c>
    </row>
    <row r="27" spans="8:8" x14ac:dyDescent="0.3">
      <c r="H27" s="17" t="s">
        <v>96</v>
      </c>
    </row>
    <row r="28" spans="8:8" x14ac:dyDescent="0.3">
      <c r="H28" s="17" t="s">
        <v>97</v>
      </c>
    </row>
    <row r="29" spans="8:8" x14ac:dyDescent="0.3">
      <c r="H29" s="20" t="s">
        <v>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18F4-B525-445A-ABB6-35EF25410306}">
  <dimension ref="A1:P19"/>
  <sheetViews>
    <sheetView topLeftCell="A7" workbookViewId="0">
      <selection activeCell="O12" sqref="O12"/>
    </sheetView>
  </sheetViews>
  <sheetFormatPr defaultRowHeight="14" x14ac:dyDescent="0.3"/>
  <cols>
    <col min="3" max="15" width="8.6640625" style="7"/>
  </cols>
  <sheetData>
    <row r="1" spans="1:16" ht="28" x14ac:dyDescent="0.3">
      <c r="A1" s="1" t="s">
        <v>0</v>
      </c>
      <c r="B1" s="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spans="1:16" x14ac:dyDescent="0.3">
      <c r="A2" s="3" t="s">
        <v>29</v>
      </c>
      <c r="B2" s="4">
        <v>92.63</v>
      </c>
      <c r="C2" s="14">
        <v>0</v>
      </c>
      <c r="D2" s="14">
        <v>0</v>
      </c>
      <c r="E2" s="14">
        <v>1.07</v>
      </c>
      <c r="F2" s="14">
        <v>0</v>
      </c>
      <c r="G2" s="14">
        <v>1.98</v>
      </c>
      <c r="H2" s="14">
        <v>0.17</v>
      </c>
      <c r="I2" s="14">
        <v>3.24</v>
      </c>
      <c r="J2" s="14">
        <v>0</v>
      </c>
      <c r="K2" s="14">
        <v>0</v>
      </c>
      <c r="L2" s="14">
        <v>0.61</v>
      </c>
      <c r="M2" s="14">
        <v>0</v>
      </c>
      <c r="N2" s="14">
        <v>0</v>
      </c>
      <c r="O2" s="14">
        <v>0</v>
      </c>
    </row>
    <row r="3" spans="1:16" x14ac:dyDescent="0.3">
      <c r="A3" s="3" t="s">
        <v>30</v>
      </c>
      <c r="B3" s="4">
        <v>95.02</v>
      </c>
      <c r="C3" s="14">
        <v>0</v>
      </c>
      <c r="D3" s="14">
        <v>0.59</v>
      </c>
      <c r="E3" s="14">
        <v>0.62</v>
      </c>
      <c r="F3" s="14">
        <v>0</v>
      </c>
      <c r="G3" s="14">
        <v>1.32</v>
      </c>
      <c r="H3" s="14">
        <v>0.32</v>
      </c>
      <c r="I3" s="14">
        <v>1.55</v>
      </c>
      <c r="J3" s="14">
        <v>0</v>
      </c>
      <c r="K3" s="14">
        <v>0</v>
      </c>
      <c r="L3" s="14">
        <v>0.35</v>
      </c>
      <c r="M3" s="14">
        <v>0</v>
      </c>
      <c r="N3" s="14">
        <v>0</v>
      </c>
      <c r="O3" s="14">
        <v>0</v>
      </c>
    </row>
    <row r="4" spans="1:16" x14ac:dyDescent="0.3">
      <c r="A4" s="3" t="s">
        <v>31</v>
      </c>
      <c r="B4" s="4">
        <v>96.77</v>
      </c>
      <c r="C4" s="14">
        <v>0</v>
      </c>
      <c r="D4" s="14">
        <v>0.92</v>
      </c>
      <c r="E4" s="14">
        <v>0.21</v>
      </c>
      <c r="F4" s="14">
        <v>0</v>
      </c>
      <c r="G4" s="14">
        <v>0.81</v>
      </c>
      <c r="H4" s="14">
        <v>0.26</v>
      </c>
      <c r="I4" s="14">
        <v>0.84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</row>
    <row r="5" spans="1:16" x14ac:dyDescent="0.3">
      <c r="A5" s="3" t="s">
        <v>32</v>
      </c>
      <c r="B5" s="4">
        <v>94.29</v>
      </c>
      <c r="C5" s="14">
        <v>0</v>
      </c>
      <c r="D5" s="14">
        <v>1.01</v>
      </c>
      <c r="E5" s="14">
        <v>0.72</v>
      </c>
      <c r="F5" s="14">
        <v>0</v>
      </c>
      <c r="G5" s="14">
        <v>1.46</v>
      </c>
      <c r="H5" s="14">
        <v>0.28999999999999998</v>
      </c>
      <c r="I5" s="14">
        <v>1.65</v>
      </c>
      <c r="J5" s="14">
        <v>0</v>
      </c>
      <c r="K5" s="14">
        <v>0</v>
      </c>
      <c r="L5" s="14">
        <v>0.15</v>
      </c>
      <c r="M5" s="14">
        <v>0</v>
      </c>
      <c r="N5" s="14">
        <v>0</v>
      </c>
      <c r="O5" s="14">
        <v>0</v>
      </c>
    </row>
    <row r="6" spans="1:16" x14ac:dyDescent="0.3">
      <c r="A6" s="3" t="s">
        <v>33</v>
      </c>
      <c r="B6" s="4">
        <v>92.35</v>
      </c>
      <c r="C6" s="14">
        <v>0</v>
      </c>
      <c r="D6" s="14">
        <v>0.74</v>
      </c>
      <c r="E6" s="14">
        <v>1.66</v>
      </c>
      <c r="F6" s="14">
        <v>0.64</v>
      </c>
      <c r="G6" s="14">
        <v>3.5</v>
      </c>
      <c r="H6" s="14">
        <v>0.35</v>
      </c>
      <c r="I6" s="14">
        <v>0.55000000000000004</v>
      </c>
      <c r="J6" s="14">
        <v>0</v>
      </c>
      <c r="K6" s="14">
        <v>0</v>
      </c>
      <c r="L6" s="14">
        <v>0.21</v>
      </c>
      <c r="M6" s="14">
        <v>0</v>
      </c>
      <c r="N6" s="14">
        <v>0</v>
      </c>
      <c r="O6" s="14">
        <v>0</v>
      </c>
    </row>
    <row r="7" spans="1:16" x14ac:dyDescent="0.3">
      <c r="A7" s="3" t="s">
        <v>34</v>
      </c>
      <c r="B7" s="4">
        <v>92.72</v>
      </c>
      <c r="C7" s="14">
        <v>0</v>
      </c>
      <c r="D7" s="14">
        <v>0</v>
      </c>
      <c r="E7" s="14">
        <v>0.94</v>
      </c>
      <c r="F7" s="14">
        <v>0.54</v>
      </c>
      <c r="G7" s="14">
        <v>2.5099999999999998</v>
      </c>
      <c r="H7" s="14">
        <v>0.2</v>
      </c>
      <c r="I7" s="14">
        <v>1.54</v>
      </c>
      <c r="J7" s="14">
        <v>0</v>
      </c>
      <c r="K7" s="14">
        <v>0</v>
      </c>
      <c r="L7" s="14">
        <v>0.36</v>
      </c>
      <c r="M7" s="14">
        <v>0</v>
      </c>
      <c r="N7" s="14">
        <v>0</v>
      </c>
      <c r="O7" s="14">
        <v>0</v>
      </c>
    </row>
    <row r="8" spans="1:16" x14ac:dyDescent="0.3">
      <c r="A8" s="12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6" x14ac:dyDescent="0.3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3">
      <c r="A10">
        <v>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26" x14ac:dyDescent="0.3">
      <c r="A11">
        <v>12</v>
      </c>
      <c r="B11" s="17" t="s">
        <v>84</v>
      </c>
      <c r="C11" s="18" t="s">
        <v>85</v>
      </c>
      <c r="D11" s="18" t="s">
        <v>86</v>
      </c>
      <c r="E11" s="18" t="s">
        <v>87</v>
      </c>
      <c r="F11" s="18" t="s">
        <v>88</v>
      </c>
      <c r="G11" s="18" t="s">
        <v>89</v>
      </c>
      <c r="H11" s="18" t="s">
        <v>90</v>
      </c>
      <c r="I11" s="18" t="s">
        <v>91</v>
      </c>
      <c r="J11" s="8"/>
      <c r="K11" s="8"/>
      <c r="L11" s="8"/>
      <c r="M11" s="8"/>
      <c r="N11" s="8"/>
      <c r="O11" s="8"/>
      <c r="P11" s="8"/>
    </row>
    <row r="12" spans="1:16" x14ac:dyDescent="0.3">
      <c r="B12" s="4">
        <v>92.63</v>
      </c>
      <c r="C12" s="14">
        <v>0</v>
      </c>
      <c r="D12" s="14">
        <v>1.07</v>
      </c>
      <c r="E12" s="14">
        <v>0</v>
      </c>
      <c r="F12" s="14">
        <v>1.98</v>
      </c>
      <c r="G12" s="14">
        <v>0.17</v>
      </c>
      <c r="H12" s="14">
        <v>3.24</v>
      </c>
      <c r="I12" s="14">
        <v>0.61</v>
      </c>
      <c r="J12" s="8"/>
      <c r="K12" s="8"/>
      <c r="L12" s="8"/>
      <c r="M12" s="8"/>
      <c r="N12" s="8"/>
      <c r="O12" s="8"/>
      <c r="P12" s="8"/>
    </row>
    <row r="13" spans="1:16" x14ac:dyDescent="0.3">
      <c r="B13" s="4">
        <v>95.02</v>
      </c>
      <c r="C13" s="14">
        <v>0.59</v>
      </c>
      <c r="D13" s="14">
        <v>0.62</v>
      </c>
      <c r="E13" s="14">
        <v>0</v>
      </c>
      <c r="F13" s="14">
        <v>1.32</v>
      </c>
      <c r="G13" s="14">
        <v>0.32</v>
      </c>
      <c r="H13" s="14">
        <v>1.55</v>
      </c>
      <c r="I13" s="14">
        <v>0.35</v>
      </c>
      <c r="J13" s="8"/>
      <c r="K13" s="8"/>
      <c r="L13" s="8"/>
      <c r="M13" s="8"/>
      <c r="N13" s="8"/>
      <c r="O13" s="8"/>
      <c r="P13" s="8"/>
    </row>
    <row r="14" spans="1:16" x14ac:dyDescent="0.3">
      <c r="B14" s="4">
        <v>96.77</v>
      </c>
      <c r="C14" s="14">
        <v>0.92</v>
      </c>
      <c r="D14" s="14">
        <v>0.21</v>
      </c>
      <c r="E14" s="14">
        <v>0</v>
      </c>
      <c r="F14" s="14">
        <v>0.81</v>
      </c>
      <c r="G14" s="14">
        <v>0.26</v>
      </c>
      <c r="H14" s="14">
        <v>0.84</v>
      </c>
      <c r="I14" s="14">
        <v>0</v>
      </c>
      <c r="J14" s="8"/>
      <c r="K14" s="8"/>
      <c r="L14" s="8"/>
      <c r="M14" s="8"/>
      <c r="N14" s="8"/>
      <c r="O14" s="8"/>
      <c r="P14" s="8"/>
    </row>
    <row r="15" spans="1:16" x14ac:dyDescent="0.3">
      <c r="B15" s="4">
        <v>94.29</v>
      </c>
      <c r="C15" s="14">
        <v>1.01</v>
      </c>
      <c r="D15" s="14">
        <v>0.72</v>
      </c>
      <c r="E15" s="14">
        <v>0</v>
      </c>
      <c r="F15" s="14">
        <v>1.46</v>
      </c>
      <c r="G15" s="14">
        <v>0.28999999999999998</v>
      </c>
      <c r="H15" s="14">
        <v>1.65</v>
      </c>
      <c r="I15" s="14">
        <v>0.15</v>
      </c>
      <c r="J15" s="8"/>
      <c r="K15" s="8"/>
      <c r="L15" s="8"/>
      <c r="M15" s="8"/>
      <c r="N15" s="8"/>
      <c r="O15" s="8"/>
      <c r="P15" s="8"/>
    </row>
    <row r="16" spans="1:16" x14ac:dyDescent="0.3">
      <c r="B16" s="4">
        <v>92.35</v>
      </c>
      <c r="C16" s="14">
        <v>0.74</v>
      </c>
      <c r="D16" s="14">
        <v>1.66</v>
      </c>
      <c r="E16" s="14">
        <v>0.64</v>
      </c>
      <c r="F16" s="14">
        <v>3.5</v>
      </c>
      <c r="G16" s="14">
        <v>0.35</v>
      </c>
      <c r="H16" s="14">
        <v>0.55000000000000004</v>
      </c>
      <c r="I16" s="14">
        <v>0.21</v>
      </c>
      <c r="J16" s="8"/>
      <c r="K16" s="8"/>
      <c r="L16" s="8"/>
      <c r="M16" s="8"/>
      <c r="N16" s="8"/>
      <c r="O16" s="8"/>
      <c r="P16" s="8"/>
    </row>
    <row r="17" spans="2:16" x14ac:dyDescent="0.3">
      <c r="B17" s="4">
        <v>92.72</v>
      </c>
      <c r="C17" s="14">
        <v>0</v>
      </c>
      <c r="D17" s="14">
        <v>0.94</v>
      </c>
      <c r="E17" s="14">
        <v>0.54</v>
      </c>
      <c r="F17" s="14">
        <v>2.5099999999999998</v>
      </c>
      <c r="G17" s="14">
        <v>0.2</v>
      </c>
      <c r="H17" s="14">
        <v>1.54</v>
      </c>
      <c r="I17" s="14">
        <v>0.36</v>
      </c>
      <c r="J17" s="8"/>
      <c r="K17" s="8"/>
      <c r="L17" s="8"/>
      <c r="M17" s="8"/>
      <c r="N17" s="8"/>
      <c r="O17" s="8"/>
      <c r="P17" s="8"/>
    </row>
    <row r="18" spans="2:16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2:16" x14ac:dyDescent="0.3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</sheetData>
  <phoneticPr fontId="2" type="noConversion"/>
  <conditionalFormatting sqref="B2:O7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{1A2AB4F9-97FA-4D01-A807-E0DF0A2927FC}</x14:id>
        </ext>
      </extLst>
    </cfRule>
  </conditionalFormatting>
  <conditionalFormatting sqref="B8:O8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{EFEBC4F3-3E27-4565-B410-A37DD1F250C4}</x14:id>
        </ext>
      </extLst>
    </cfRule>
  </conditionalFormatting>
  <conditionalFormatting sqref="B2:O8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{00277597-D4BD-4A60-91A4-8BA3F59D5C5B}</x14:id>
        </ext>
      </extLst>
    </cfRule>
  </conditionalFormatting>
  <conditionalFormatting sqref="B12:B1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{A3913920-23A9-4958-A1CA-E6B0B15505A1}</x14:id>
        </ext>
      </extLst>
    </cfRule>
  </conditionalFormatting>
  <conditionalFormatting sqref="B12:B1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{6E81B8BD-3A90-479D-BE25-6479BCBFFD0E}</x14:id>
        </ext>
      </extLst>
    </cfRule>
  </conditionalFormatting>
  <conditionalFormatting sqref="C12:C1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{55E2FC05-8C4E-4F20-A842-318860005434}</x14:id>
        </ext>
      </extLst>
    </cfRule>
  </conditionalFormatting>
  <conditionalFormatting sqref="C12:C1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{8CB646C8-DDAD-48E5-B9BB-123599D66665}</x14:id>
        </ext>
      </extLst>
    </cfRule>
  </conditionalFormatting>
  <conditionalFormatting sqref="D12:D1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{1E6833CB-CB25-423E-99C3-71D155AE076C}</x14:id>
        </ext>
      </extLst>
    </cfRule>
  </conditionalFormatting>
  <conditionalFormatting sqref="D12:D1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{1A7D7DE7-C2E9-4F12-B718-C7212A80EEE0}</x14:id>
        </ext>
      </extLst>
    </cfRule>
  </conditionalFormatting>
  <conditionalFormatting sqref="E12:E1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{1BB1D717-0639-4EDA-9DA5-33CD28732730}</x14:id>
        </ext>
      </extLst>
    </cfRule>
  </conditionalFormatting>
  <conditionalFormatting sqref="E12:E1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{BC0D6936-2909-4D8C-ACFE-65A9B46D933D}</x14:id>
        </ext>
      </extLst>
    </cfRule>
  </conditionalFormatting>
  <conditionalFormatting sqref="F12:F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{AAAD4FAE-4010-44DF-883F-306D646230E0}</x14:id>
        </ext>
      </extLst>
    </cfRule>
  </conditionalFormatting>
  <conditionalFormatting sqref="F12:F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{D94E3692-6912-4B4B-944C-A124344A1627}</x14:id>
        </ext>
      </extLst>
    </cfRule>
  </conditionalFormatting>
  <conditionalFormatting sqref="G12:H1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{AA67C33A-474A-4007-9E43-29D765648BC3}</x14:id>
        </ext>
      </extLst>
    </cfRule>
  </conditionalFormatting>
  <conditionalFormatting sqref="G12:H1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{C862E1DE-B39E-425A-B923-5A2E9375BB58}</x14:id>
        </ext>
      </extLst>
    </cfRule>
  </conditionalFormatting>
  <conditionalFormatting sqref="I12:I1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{1D8F17F5-FA8A-4D1B-AF53-D08701301817}</x14:id>
        </ext>
      </extLst>
    </cfRule>
  </conditionalFormatting>
  <conditionalFormatting sqref="I12:I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{5BFDDD1C-D362-4DE8-AFF3-BAF30E5FC4A2}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2AB4F9-97FA-4D01-A807-E0DF0A2927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B2:O7</xm:sqref>
        </x14:conditionalFormatting>
        <x14:conditionalFormatting xmlns:xm="http://schemas.microsoft.com/office/excel/2006/main">
          <x14:cfRule type="dataBar" id="{EFEBC4F3-3E27-4565-B410-A37DD1F25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B8:O8</xm:sqref>
        </x14:conditionalFormatting>
        <x14:conditionalFormatting xmlns:xm="http://schemas.microsoft.com/office/excel/2006/main">
          <x14:cfRule type="dataBar" id="{00277597-D4BD-4A60-91A4-8BA3F59D5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B2:O8</xm:sqref>
        </x14:conditionalFormatting>
        <x14:conditionalFormatting xmlns:xm="http://schemas.microsoft.com/office/excel/2006/main">
          <x14:cfRule type="dataBar" id="{A3913920-23A9-4958-A1CA-E6B0B15505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B12:B17</xm:sqref>
        </x14:conditionalFormatting>
        <x14:conditionalFormatting xmlns:xm="http://schemas.microsoft.com/office/excel/2006/main">
          <x14:cfRule type="dataBar" id="{6E81B8BD-3A90-479D-BE25-6479BCBFFD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B12:B17</xm:sqref>
        </x14:conditionalFormatting>
        <x14:conditionalFormatting xmlns:xm="http://schemas.microsoft.com/office/excel/2006/main">
          <x14:cfRule type="dataBar" id="{55E2FC05-8C4E-4F20-A842-3188600054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C12:C17</xm:sqref>
        </x14:conditionalFormatting>
        <x14:conditionalFormatting xmlns:xm="http://schemas.microsoft.com/office/excel/2006/main">
          <x14:cfRule type="dataBar" id="{8CB646C8-DDAD-48E5-B9BB-123599D666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C12:C17</xm:sqref>
        </x14:conditionalFormatting>
        <x14:conditionalFormatting xmlns:xm="http://schemas.microsoft.com/office/excel/2006/main">
          <x14:cfRule type="dataBar" id="{1E6833CB-CB25-423E-99C3-71D155AE07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D12:D17</xm:sqref>
        </x14:conditionalFormatting>
        <x14:conditionalFormatting xmlns:xm="http://schemas.microsoft.com/office/excel/2006/main">
          <x14:cfRule type="dataBar" id="{1A7D7DE7-C2E9-4F12-B718-C7212A80EE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D12:D17</xm:sqref>
        </x14:conditionalFormatting>
        <x14:conditionalFormatting xmlns:xm="http://schemas.microsoft.com/office/excel/2006/main">
          <x14:cfRule type="dataBar" id="{1BB1D717-0639-4EDA-9DA5-33CD287327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E12:E17</xm:sqref>
        </x14:conditionalFormatting>
        <x14:conditionalFormatting xmlns:xm="http://schemas.microsoft.com/office/excel/2006/main">
          <x14:cfRule type="dataBar" id="{BC0D6936-2909-4D8C-ACFE-65A9B46D93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E12:E17</xm:sqref>
        </x14:conditionalFormatting>
        <x14:conditionalFormatting xmlns:xm="http://schemas.microsoft.com/office/excel/2006/main">
          <x14:cfRule type="dataBar" id="{AAAD4FAE-4010-44DF-883F-306D646230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F12:F17</xm:sqref>
        </x14:conditionalFormatting>
        <x14:conditionalFormatting xmlns:xm="http://schemas.microsoft.com/office/excel/2006/main">
          <x14:cfRule type="dataBar" id="{D94E3692-6912-4B4B-944C-A124344A16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F12:F17</xm:sqref>
        </x14:conditionalFormatting>
        <x14:conditionalFormatting xmlns:xm="http://schemas.microsoft.com/office/excel/2006/main">
          <x14:cfRule type="dataBar" id="{AA67C33A-474A-4007-9E43-29D765648B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G12:H17</xm:sqref>
        </x14:conditionalFormatting>
        <x14:conditionalFormatting xmlns:xm="http://schemas.microsoft.com/office/excel/2006/main">
          <x14:cfRule type="dataBar" id="{C862E1DE-B39E-425A-B923-5A2E9375BB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G12:H17</xm:sqref>
        </x14:conditionalFormatting>
        <x14:conditionalFormatting xmlns:xm="http://schemas.microsoft.com/office/excel/2006/main">
          <x14:cfRule type="dataBar" id="{1D8F17F5-FA8A-4D1B-AF53-D087013018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I12:I17</xm:sqref>
        </x14:conditionalFormatting>
        <x14:conditionalFormatting xmlns:xm="http://schemas.microsoft.com/office/excel/2006/main">
          <x14:cfRule type="dataBar" id="{5BFDDD1C-D362-4DE8-AFF3-BAF30E5FC4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I12:I17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F367-92EC-43F2-A052-AF9554CDF77B}">
  <dimension ref="A1:O53"/>
  <sheetViews>
    <sheetView topLeftCell="A10" zoomScale="86" zoomScaleNormal="86" workbookViewId="0">
      <selection activeCell="B2" sqref="B2:O24"/>
    </sheetView>
  </sheetViews>
  <sheetFormatPr defaultRowHeight="14" x14ac:dyDescent="0.3"/>
  <cols>
    <col min="1" max="1" width="10.6640625" bestFit="1" customWidth="1"/>
  </cols>
  <sheetData>
    <row r="1" spans="1:15" ht="2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3" t="s">
        <v>71</v>
      </c>
      <c r="B2" s="4">
        <v>37.36</v>
      </c>
      <c r="C2" s="4">
        <v>0</v>
      </c>
      <c r="D2" s="4">
        <v>0.71</v>
      </c>
      <c r="E2" s="4">
        <v>0</v>
      </c>
      <c r="F2" s="4">
        <v>0</v>
      </c>
      <c r="G2" s="4">
        <v>5.45</v>
      </c>
      <c r="H2" s="4">
        <v>1.51</v>
      </c>
      <c r="I2" s="4">
        <v>4.78</v>
      </c>
      <c r="J2" s="4">
        <v>9.3000000000000007</v>
      </c>
      <c r="K2" s="4">
        <v>23.55</v>
      </c>
      <c r="L2" s="4">
        <v>5.75</v>
      </c>
      <c r="M2" s="4">
        <v>0</v>
      </c>
      <c r="N2" s="4">
        <v>0</v>
      </c>
      <c r="O2" s="4">
        <v>0</v>
      </c>
    </row>
    <row r="3" spans="1:15" x14ac:dyDescent="0.3">
      <c r="A3" s="3" t="s">
        <v>72</v>
      </c>
      <c r="B3" s="4">
        <v>31.94</v>
      </c>
      <c r="C3" s="4">
        <v>0</v>
      </c>
      <c r="D3" s="4">
        <v>0</v>
      </c>
      <c r="E3" s="4">
        <v>0.47</v>
      </c>
      <c r="F3" s="4">
        <v>0</v>
      </c>
      <c r="G3" s="4">
        <v>1.59</v>
      </c>
      <c r="H3" s="4">
        <v>0</v>
      </c>
      <c r="I3" s="4">
        <v>8.4600000000000009</v>
      </c>
      <c r="J3" s="4">
        <v>29.14</v>
      </c>
      <c r="K3" s="4">
        <v>26.23</v>
      </c>
      <c r="L3" s="4">
        <v>0.14000000000000001</v>
      </c>
      <c r="M3" s="4">
        <v>0.91</v>
      </c>
      <c r="N3" s="4">
        <v>0</v>
      </c>
      <c r="O3" s="4">
        <v>0</v>
      </c>
    </row>
    <row r="4" spans="1:15" x14ac:dyDescent="0.3">
      <c r="A4" s="3" t="s">
        <v>73</v>
      </c>
      <c r="B4" s="4">
        <v>34.340000000000003</v>
      </c>
      <c r="C4" s="4">
        <v>0</v>
      </c>
      <c r="D4" s="4">
        <v>1.41</v>
      </c>
      <c r="E4" s="4">
        <v>4.49</v>
      </c>
      <c r="F4" s="4">
        <v>0.98</v>
      </c>
      <c r="G4" s="4">
        <v>4.3499999999999996</v>
      </c>
      <c r="H4" s="4">
        <v>2.12</v>
      </c>
      <c r="I4" s="4">
        <v>0</v>
      </c>
      <c r="J4" s="4">
        <v>39.22</v>
      </c>
      <c r="K4" s="4">
        <v>10.29</v>
      </c>
      <c r="L4" s="4">
        <v>0</v>
      </c>
      <c r="M4" s="4">
        <v>0.35</v>
      </c>
      <c r="N4" s="4">
        <v>0.4</v>
      </c>
      <c r="O4" s="5">
        <v>0</v>
      </c>
    </row>
    <row r="5" spans="1:15" x14ac:dyDescent="0.3">
      <c r="A5" s="3" t="s">
        <v>74</v>
      </c>
      <c r="B5" s="4">
        <v>36.93</v>
      </c>
      <c r="C5" s="4">
        <v>0</v>
      </c>
      <c r="D5" s="4">
        <v>0</v>
      </c>
      <c r="E5" s="4">
        <v>4.24</v>
      </c>
      <c r="F5" s="4">
        <v>0.51</v>
      </c>
      <c r="G5" s="4">
        <v>3.86</v>
      </c>
      <c r="H5" s="4">
        <v>2.74</v>
      </c>
      <c r="I5" s="4">
        <v>0</v>
      </c>
      <c r="J5" s="4">
        <v>37.74</v>
      </c>
      <c r="K5" s="4">
        <v>10.35</v>
      </c>
      <c r="L5" s="4">
        <v>1.41</v>
      </c>
      <c r="M5" s="4">
        <v>0.48</v>
      </c>
      <c r="N5" s="4">
        <v>0.44</v>
      </c>
      <c r="O5" s="5">
        <v>0</v>
      </c>
    </row>
    <row r="6" spans="1:15" x14ac:dyDescent="0.3">
      <c r="A6" s="3" t="s">
        <v>75</v>
      </c>
      <c r="B6" s="4">
        <v>65.91</v>
      </c>
      <c r="C6" s="4">
        <v>0</v>
      </c>
      <c r="D6" s="4">
        <v>0</v>
      </c>
      <c r="E6" s="4">
        <v>1.6</v>
      </c>
      <c r="F6" s="4">
        <v>0.89</v>
      </c>
      <c r="G6" s="4">
        <v>3.11</v>
      </c>
      <c r="H6" s="4">
        <v>4.59</v>
      </c>
      <c r="I6" s="4">
        <v>0.44</v>
      </c>
      <c r="J6" s="4">
        <v>16.55</v>
      </c>
      <c r="K6" s="4">
        <v>3.42</v>
      </c>
      <c r="L6" s="4">
        <v>1.62</v>
      </c>
      <c r="M6" s="4">
        <v>0.3</v>
      </c>
      <c r="N6" s="4">
        <v>0</v>
      </c>
      <c r="O6" s="4">
        <v>0</v>
      </c>
    </row>
    <row r="7" spans="1:15" x14ac:dyDescent="0.3">
      <c r="A7" s="3" t="s">
        <v>76</v>
      </c>
      <c r="B7" s="4">
        <v>69.709999999999994</v>
      </c>
      <c r="C7" s="4">
        <v>0</v>
      </c>
      <c r="D7" s="4">
        <v>0.21</v>
      </c>
      <c r="E7" s="4">
        <v>0.46</v>
      </c>
      <c r="F7" s="4">
        <v>0</v>
      </c>
      <c r="G7" s="4">
        <v>2.36</v>
      </c>
      <c r="H7" s="4">
        <v>1</v>
      </c>
      <c r="I7" s="4">
        <v>0.11</v>
      </c>
      <c r="J7" s="4">
        <v>19.760000000000002</v>
      </c>
      <c r="K7" s="4">
        <v>4.88</v>
      </c>
      <c r="L7" s="4">
        <v>0.17</v>
      </c>
      <c r="M7" s="4">
        <v>0</v>
      </c>
      <c r="N7" s="4">
        <v>0</v>
      </c>
      <c r="O7" s="5">
        <v>0</v>
      </c>
    </row>
    <row r="8" spans="1:15" x14ac:dyDescent="0.3">
      <c r="A8" s="3" t="s">
        <v>77</v>
      </c>
      <c r="B8" s="4">
        <v>75.510000000000005</v>
      </c>
      <c r="C8" s="4">
        <v>0</v>
      </c>
      <c r="D8" s="4">
        <v>0.15</v>
      </c>
      <c r="E8" s="4">
        <v>0.64</v>
      </c>
      <c r="F8" s="4">
        <v>1</v>
      </c>
      <c r="G8" s="4">
        <v>2.35</v>
      </c>
      <c r="H8" s="4">
        <v>0</v>
      </c>
      <c r="I8" s="4">
        <v>0.47</v>
      </c>
      <c r="J8" s="4">
        <v>16.16</v>
      </c>
      <c r="K8" s="4">
        <v>3.55</v>
      </c>
      <c r="L8" s="4">
        <v>0.13</v>
      </c>
      <c r="M8" s="4">
        <v>0</v>
      </c>
      <c r="N8" s="4">
        <v>0</v>
      </c>
      <c r="O8" s="5">
        <v>0</v>
      </c>
    </row>
    <row r="9" spans="1:15" x14ac:dyDescent="0.3">
      <c r="A9" s="3" t="s">
        <v>78</v>
      </c>
      <c r="B9" s="4">
        <v>65.91</v>
      </c>
      <c r="C9" s="4">
        <v>0</v>
      </c>
      <c r="D9" s="4">
        <v>0</v>
      </c>
      <c r="E9" s="4">
        <v>0.38</v>
      </c>
      <c r="F9" s="4">
        <v>0</v>
      </c>
      <c r="G9" s="4">
        <v>1.44</v>
      </c>
      <c r="H9" s="4">
        <v>0.17</v>
      </c>
      <c r="I9" s="4">
        <v>0.16</v>
      </c>
      <c r="J9" s="4">
        <v>22.05</v>
      </c>
      <c r="K9" s="4">
        <v>5.68</v>
      </c>
      <c r="L9" s="4">
        <v>0.42</v>
      </c>
      <c r="M9" s="4">
        <v>0</v>
      </c>
      <c r="N9" s="4">
        <v>0</v>
      </c>
      <c r="O9" s="5">
        <v>0</v>
      </c>
    </row>
    <row r="10" spans="1:15" x14ac:dyDescent="0.3">
      <c r="A10" s="3" t="s">
        <v>79</v>
      </c>
      <c r="B10" s="4">
        <v>60.12</v>
      </c>
      <c r="C10" s="4">
        <v>0</v>
      </c>
      <c r="D10" s="4">
        <v>0.23</v>
      </c>
      <c r="E10" s="4">
        <v>0.89</v>
      </c>
      <c r="F10" s="4">
        <v>0</v>
      </c>
      <c r="G10" s="4">
        <v>2.72</v>
      </c>
      <c r="H10" s="4">
        <v>0</v>
      </c>
      <c r="I10" s="4">
        <v>3.01</v>
      </c>
      <c r="J10" s="4">
        <v>17.239999999999998</v>
      </c>
      <c r="K10" s="4">
        <v>10.34</v>
      </c>
      <c r="L10" s="4">
        <v>1.46</v>
      </c>
      <c r="M10" s="4">
        <v>0.31</v>
      </c>
      <c r="N10" s="4">
        <v>0</v>
      </c>
      <c r="O10" s="4">
        <v>3.66</v>
      </c>
    </row>
    <row r="11" spans="1:15" x14ac:dyDescent="0.3">
      <c r="A11" s="3" t="s">
        <v>80</v>
      </c>
      <c r="B11" s="4">
        <v>61.28</v>
      </c>
      <c r="C11" s="4">
        <v>2.66</v>
      </c>
      <c r="D11" s="4">
        <v>0.11</v>
      </c>
      <c r="E11" s="4">
        <v>0.84</v>
      </c>
      <c r="F11" s="4">
        <v>0.74</v>
      </c>
      <c r="G11" s="4">
        <v>5</v>
      </c>
      <c r="H11" s="4">
        <v>0</v>
      </c>
      <c r="I11" s="4">
        <v>0.53</v>
      </c>
      <c r="J11" s="4">
        <v>15.99</v>
      </c>
      <c r="K11" s="4">
        <v>10.96</v>
      </c>
      <c r="L11" s="4">
        <v>0</v>
      </c>
      <c r="M11" s="4">
        <v>0.23</v>
      </c>
      <c r="N11" s="4">
        <v>0</v>
      </c>
      <c r="O11" s="5">
        <v>0</v>
      </c>
    </row>
    <row r="12" spans="1:15" x14ac:dyDescent="0.3">
      <c r="A12" s="3" t="s">
        <v>81</v>
      </c>
      <c r="B12" s="4">
        <v>55.21</v>
      </c>
      <c r="C12" s="4">
        <v>0</v>
      </c>
      <c r="D12" s="4">
        <v>0.25</v>
      </c>
      <c r="E12" s="4">
        <v>0</v>
      </c>
      <c r="F12" s="4">
        <v>1.67</v>
      </c>
      <c r="G12" s="4">
        <v>4.79</v>
      </c>
      <c r="H12" s="4">
        <v>0</v>
      </c>
      <c r="I12" s="4">
        <v>0.77</v>
      </c>
      <c r="J12" s="4">
        <v>25.25</v>
      </c>
      <c r="K12" s="4">
        <v>10.06</v>
      </c>
      <c r="L12" s="4">
        <v>0.2</v>
      </c>
      <c r="M12" s="4">
        <v>0.43</v>
      </c>
      <c r="N12" s="4">
        <v>0</v>
      </c>
      <c r="O12" s="5">
        <v>0</v>
      </c>
    </row>
    <row r="13" spans="1:15" x14ac:dyDescent="0.3">
      <c r="A13" s="3" t="s">
        <v>82</v>
      </c>
      <c r="B13" s="4">
        <v>51.54</v>
      </c>
      <c r="C13" s="4">
        <v>4.66</v>
      </c>
      <c r="D13" s="4">
        <v>0.28999999999999998</v>
      </c>
      <c r="E13" s="4">
        <v>0.87</v>
      </c>
      <c r="F13" s="4">
        <v>0.61</v>
      </c>
      <c r="G13" s="4">
        <v>3.06</v>
      </c>
      <c r="H13" s="4">
        <v>0</v>
      </c>
      <c r="I13" s="4">
        <v>0.65</v>
      </c>
      <c r="J13" s="4">
        <v>25.4</v>
      </c>
      <c r="K13" s="4">
        <v>9.23</v>
      </c>
      <c r="L13" s="4">
        <v>0.1</v>
      </c>
      <c r="M13" s="4">
        <v>0.85</v>
      </c>
      <c r="N13" s="4">
        <v>0</v>
      </c>
      <c r="O13" s="5">
        <v>0</v>
      </c>
    </row>
    <row r="14" spans="1:15" x14ac:dyDescent="0.3">
      <c r="A14" s="3" t="s">
        <v>83</v>
      </c>
      <c r="B14" s="4">
        <v>49.01</v>
      </c>
      <c r="C14" s="4">
        <v>2.71</v>
      </c>
      <c r="D14" s="4">
        <v>0</v>
      </c>
      <c r="E14" s="4">
        <v>1.1299999999999999</v>
      </c>
      <c r="F14" s="4">
        <v>0</v>
      </c>
      <c r="G14" s="4">
        <v>1.45</v>
      </c>
      <c r="H14" s="4">
        <v>0</v>
      </c>
      <c r="I14" s="4">
        <v>0.86</v>
      </c>
      <c r="J14" s="4">
        <v>32.92</v>
      </c>
      <c r="K14" s="4">
        <v>7.95</v>
      </c>
      <c r="L14" s="4">
        <v>0.35</v>
      </c>
      <c r="M14" s="4">
        <v>0</v>
      </c>
      <c r="N14" s="4">
        <v>0</v>
      </c>
      <c r="O14" s="5">
        <v>0</v>
      </c>
    </row>
    <row r="15" spans="1:15" x14ac:dyDescent="0.3">
      <c r="A15" s="15" t="s">
        <v>40</v>
      </c>
      <c r="B15" s="4">
        <v>53.79</v>
      </c>
      <c r="C15" s="4">
        <v>7.92</v>
      </c>
      <c r="D15" s="4">
        <v>0</v>
      </c>
      <c r="E15" s="4">
        <v>0.5</v>
      </c>
      <c r="F15" s="4">
        <v>0.71</v>
      </c>
      <c r="G15" s="4">
        <v>1.42</v>
      </c>
      <c r="H15" s="4">
        <v>0</v>
      </c>
      <c r="I15" s="4">
        <v>2.99</v>
      </c>
      <c r="J15" s="4">
        <v>16.98</v>
      </c>
      <c r="K15" s="4">
        <v>11.86</v>
      </c>
      <c r="L15" s="4">
        <v>0</v>
      </c>
      <c r="M15" s="4">
        <v>0.33</v>
      </c>
      <c r="N15" s="4">
        <v>0</v>
      </c>
      <c r="O15" s="16">
        <v>0</v>
      </c>
    </row>
    <row r="16" spans="1:15" x14ac:dyDescent="0.3">
      <c r="A16" s="15" t="s">
        <v>41</v>
      </c>
      <c r="B16" s="4">
        <v>50.61</v>
      </c>
      <c r="C16" s="4">
        <v>2.31</v>
      </c>
      <c r="D16" s="4">
        <v>0</v>
      </c>
      <c r="E16" s="4">
        <v>0.63</v>
      </c>
      <c r="F16" s="4">
        <v>0</v>
      </c>
      <c r="G16" s="4">
        <v>1.9</v>
      </c>
      <c r="H16" s="4">
        <v>1.55</v>
      </c>
      <c r="I16" s="4">
        <v>1.1200000000000001</v>
      </c>
      <c r="J16" s="4">
        <v>31.9</v>
      </c>
      <c r="K16" s="4">
        <v>6.65</v>
      </c>
      <c r="L16" s="4">
        <v>0.19</v>
      </c>
      <c r="M16" s="4">
        <v>0.2</v>
      </c>
      <c r="N16" s="4">
        <v>0</v>
      </c>
      <c r="O16" s="16">
        <v>0</v>
      </c>
    </row>
    <row r="17" spans="1:15" x14ac:dyDescent="0.3">
      <c r="A17" s="15" t="s">
        <v>44</v>
      </c>
      <c r="B17" s="4">
        <v>68.08</v>
      </c>
      <c r="C17" s="4">
        <v>0</v>
      </c>
      <c r="D17" s="4">
        <v>0.26</v>
      </c>
      <c r="E17" s="4">
        <v>1.34</v>
      </c>
      <c r="F17" s="4">
        <v>1</v>
      </c>
      <c r="G17" s="4">
        <v>4.7</v>
      </c>
      <c r="H17" s="4">
        <v>0.41</v>
      </c>
      <c r="I17" s="4">
        <v>0.33</v>
      </c>
      <c r="J17" s="4">
        <v>17.14</v>
      </c>
      <c r="K17" s="4">
        <v>4.04</v>
      </c>
      <c r="L17" s="4">
        <v>1.04</v>
      </c>
      <c r="M17" s="4">
        <v>0.12</v>
      </c>
      <c r="N17" s="4">
        <v>0.23</v>
      </c>
      <c r="O17" s="16">
        <v>0</v>
      </c>
    </row>
    <row r="18" spans="1:15" x14ac:dyDescent="0.3">
      <c r="A18" s="15" t="s">
        <v>45</v>
      </c>
      <c r="B18" s="4">
        <v>63.3</v>
      </c>
      <c r="C18" s="4">
        <v>0.92</v>
      </c>
      <c r="D18" s="4">
        <v>0.3</v>
      </c>
      <c r="E18" s="4">
        <v>2.98</v>
      </c>
      <c r="F18" s="4">
        <v>1.49</v>
      </c>
      <c r="G18" s="4">
        <v>14.34</v>
      </c>
      <c r="H18" s="4">
        <v>0.81</v>
      </c>
      <c r="I18" s="4">
        <v>0.74</v>
      </c>
      <c r="J18" s="4">
        <v>12.31</v>
      </c>
      <c r="K18" s="4">
        <v>2.0299999999999998</v>
      </c>
      <c r="L18" s="4">
        <v>0.41</v>
      </c>
      <c r="M18" s="4">
        <v>0.25</v>
      </c>
      <c r="N18" s="4">
        <v>0</v>
      </c>
      <c r="O18" s="16">
        <v>0</v>
      </c>
    </row>
    <row r="19" spans="1:15" x14ac:dyDescent="0.3">
      <c r="A19" s="15" t="s">
        <v>52</v>
      </c>
      <c r="B19" s="4">
        <v>51.26</v>
      </c>
      <c r="C19" s="4">
        <v>5.74</v>
      </c>
      <c r="D19" s="4">
        <v>0.15</v>
      </c>
      <c r="E19" s="4">
        <v>0.79</v>
      </c>
      <c r="F19" s="4">
        <v>1.0900000000000001</v>
      </c>
      <c r="G19" s="4">
        <v>3.53</v>
      </c>
      <c r="H19" s="4">
        <v>0</v>
      </c>
      <c r="I19" s="4">
        <v>2.67</v>
      </c>
      <c r="J19" s="4">
        <v>21.88</v>
      </c>
      <c r="K19" s="4">
        <v>10.47</v>
      </c>
      <c r="L19" s="4">
        <v>0.08</v>
      </c>
      <c r="M19" s="4">
        <v>0.35</v>
      </c>
      <c r="N19" s="4">
        <v>0</v>
      </c>
      <c r="O19" s="16">
        <v>0</v>
      </c>
    </row>
    <row r="20" spans="1:15" x14ac:dyDescent="0.3">
      <c r="A20" s="15" t="s">
        <v>53</v>
      </c>
      <c r="B20" s="4">
        <v>51.33</v>
      </c>
      <c r="C20" s="4">
        <v>5.68</v>
      </c>
      <c r="D20" s="4">
        <v>0.35</v>
      </c>
      <c r="E20" s="4">
        <v>0</v>
      </c>
      <c r="F20" s="4">
        <v>1.1599999999999999</v>
      </c>
      <c r="G20" s="4">
        <v>5.66</v>
      </c>
      <c r="H20" s="4">
        <v>0</v>
      </c>
      <c r="I20" s="4">
        <v>2.72</v>
      </c>
      <c r="J20" s="4">
        <v>20.12</v>
      </c>
      <c r="K20" s="4">
        <v>10.88</v>
      </c>
      <c r="L20" s="4">
        <v>0</v>
      </c>
      <c r="M20" s="4">
        <v>0</v>
      </c>
      <c r="N20" s="4">
        <v>0</v>
      </c>
      <c r="O20" s="16">
        <v>0</v>
      </c>
    </row>
    <row r="21" spans="1:15" x14ac:dyDescent="0.3">
      <c r="A21" s="15" t="s">
        <v>56</v>
      </c>
      <c r="B21" s="4">
        <v>60.74</v>
      </c>
      <c r="C21" s="4">
        <v>3.06</v>
      </c>
      <c r="D21" s="4">
        <v>0.2</v>
      </c>
      <c r="E21" s="4">
        <v>2.14</v>
      </c>
      <c r="F21" s="4">
        <v>0</v>
      </c>
      <c r="G21" s="4">
        <v>12.69</v>
      </c>
      <c r="H21" s="4">
        <v>0.77</v>
      </c>
      <c r="I21" s="4">
        <v>0.43</v>
      </c>
      <c r="J21" s="4">
        <v>13.61</v>
      </c>
      <c r="K21" s="4">
        <v>5.22</v>
      </c>
      <c r="L21" s="4">
        <v>0</v>
      </c>
      <c r="M21" s="4">
        <v>0.26</v>
      </c>
      <c r="N21" s="4">
        <v>0</v>
      </c>
      <c r="O21" s="16">
        <v>0</v>
      </c>
    </row>
    <row r="22" spans="1:15" x14ac:dyDescent="0.3">
      <c r="A22" s="15" t="s">
        <v>59</v>
      </c>
      <c r="B22" s="4">
        <v>54.61</v>
      </c>
      <c r="C22" s="4">
        <v>0</v>
      </c>
      <c r="D22" s="4">
        <v>0.3</v>
      </c>
      <c r="E22" s="4">
        <v>2.08</v>
      </c>
      <c r="F22" s="4">
        <v>1.2</v>
      </c>
      <c r="G22" s="4">
        <v>6.5</v>
      </c>
      <c r="H22" s="4">
        <v>1.27</v>
      </c>
      <c r="I22" s="4">
        <v>0.45</v>
      </c>
      <c r="J22" s="4">
        <v>23.02</v>
      </c>
      <c r="K22" s="4">
        <v>4.1900000000000004</v>
      </c>
      <c r="L22" s="4">
        <v>4.32</v>
      </c>
      <c r="M22" s="4">
        <v>0.3</v>
      </c>
      <c r="N22" s="4">
        <v>0</v>
      </c>
      <c r="O22" s="16">
        <v>0</v>
      </c>
    </row>
    <row r="23" spans="1:15" x14ac:dyDescent="0.3">
      <c r="A23" s="15" t="s">
        <v>61</v>
      </c>
      <c r="B23" s="4">
        <v>45.02</v>
      </c>
      <c r="C23" s="4">
        <v>0</v>
      </c>
      <c r="D23" s="4">
        <v>0</v>
      </c>
      <c r="E23" s="4">
        <v>3.12</v>
      </c>
      <c r="F23" s="4">
        <v>0.54</v>
      </c>
      <c r="G23" s="4">
        <v>4.16</v>
      </c>
      <c r="H23" s="4">
        <v>0</v>
      </c>
      <c r="I23" s="4">
        <v>0.7</v>
      </c>
      <c r="J23" s="4">
        <v>30.61</v>
      </c>
      <c r="K23" s="4">
        <v>6.22</v>
      </c>
      <c r="L23" s="4">
        <v>6.34</v>
      </c>
      <c r="M23" s="4">
        <v>0.23</v>
      </c>
      <c r="N23" s="4">
        <v>0</v>
      </c>
      <c r="O23" s="16">
        <v>0</v>
      </c>
    </row>
    <row r="24" spans="1:15" x14ac:dyDescent="0.3">
      <c r="A24" s="15" t="s">
        <v>65</v>
      </c>
      <c r="B24" s="4">
        <v>63.66</v>
      </c>
      <c r="C24" s="4">
        <v>3.04</v>
      </c>
      <c r="D24" s="4">
        <v>0.11</v>
      </c>
      <c r="E24" s="4">
        <v>0.78</v>
      </c>
      <c r="F24" s="4">
        <v>1.1399999999999999</v>
      </c>
      <c r="G24" s="4">
        <v>6.06</v>
      </c>
      <c r="H24" s="4">
        <v>0</v>
      </c>
      <c r="I24" s="4">
        <v>0.54</v>
      </c>
      <c r="J24" s="4">
        <v>13.66</v>
      </c>
      <c r="K24" s="4">
        <v>8.99</v>
      </c>
      <c r="L24" s="4">
        <v>0</v>
      </c>
      <c r="M24" s="4">
        <v>0.27</v>
      </c>
      <c r="N24" s="4">
        <v>0</v>
      </c>
      <c r="O24" s="16">
        <v>0</v>
      </c>
    </row>
    <row r="28" spans="1:15" x14ac:dyDescent="0.3">
      <c r="B28">
        <v>65.91</v>
      </c>
      <c r="C28">
        <v>0</v>
      </c>
      <c r="D28">
        <v>0</v>
      </c>
      <c r="E28">
        <v>1.6</v>
      </c>
      <c r="F28">
        <v>0.89</v>
      </c>
      <c r="G28">
        <v>3.11</v>
      </c>
      <c r="H28">
        <v>4.59</v>
      </c>
      <c r="I28">
        <v>0.44</v>
      </c>
      <c r="J28">
        <v>16.55</v>
      </c>
      <c r="K28">
        <v>3.42</v>
      </c>
      <c r="L28">
        <v>1.62</v>
      </c>
      <c r="M28">
        <v>0.3</v>
      </c>
      <c r="N28">
        <v>0</v>
      </c>
      <c r="O28">
        <v>0</v>
      </c>
    </row>
    <row r="29" spans="1:15" x14ac:dyDescent="0.3">
      <c r="B29">
        <v>31.94</v>
      </c>
      <c r="C29">
        <v>0</v>
      </c>
      <c r="D29">
        <v>0</v>
      </c>
      <c r="E29">
        <v>1.89</v>
      </c>
      <c r="F29">
        <v>0</v>
      </c>
      <c r="G29">
        <v>1.59</v>
      </c>
      <c r="H29">
        <v>0</v>
      </c>
      <c r="I29">
        <v>9.4600000000000009</v>
      </c>
      <c r="J29">
        <v>30.14</v>
      </c>
      <c r="K29">
        <v>27.23</v>
      </c>
      <c r="L29">
        <v>2.46</v>
      </c>
      <c r="M29">
        <v>0.31</v>
      </c>
      <c r="N29">
        <v>0</v>
      </c>
      <c r="O29">
        <v>0</v>
      </c>
    </row>
    <row r="30" spans="1:15" x14ac:dyDescent="0.3">
      <c r="B30">
        <v>31.94</v>
      </c>
      <c r="C30">
        <v>0</v>
      </c>
      <c r="D30">
        <v>0</v>
      </c>
      <c r="E30">
        <v>0.47</v>
      </c>
      <c r="F30">
        <v>0</v>
      </c>
      <c r="G30">
        <v>3.72</v>
      </c>
      <c r="H30">
        <v>1</v>
      </c>
      <c r="I30">
        <v>3.01</v>
      </c>
      <c r="J30">
        <v>30.14</v>
      </c>
      <c r="K30">
        <v>27.23</v>
      </c>
      <c r="L30">
        <v>2.46</v>
      </c>
      <c r="M30">
        <v>0.31</v>
      </c>
      <c r="N30">
        <v>1</v>
      </c>
      <c r="O30">
        <v>0</v>
      </c>
    </row>
    <row r="31" spans="1:15" x14ac:dyDescent="0.3">
      <c r="B31">
        <v>73.667078781179299</v>
      </c>
      <c r="C31">
        <v>4</v>
      </c>
      <c r="D31">
        <v>0.85960526308130603</v>
      </c>
      <c r="E31">
        <v>1.87</v>
      </c>
      <c r="F31">
        <v>2.67</v>
      </c>
      <c r="G31">
        <v>2.35</v>
      </c>
      <c r="H31">
        <v>0</v>
      </c>
      <c r="I31">
        <v>1.77</v>
      </c>
      <c r="J31">
        <v>16.16</v>
      </c>
      <c r="K31">
        <v>3.55</v>
      </c>
      <c r="L31">
        <v>1.2</v>
      </c>
      <c r="M31">
        <v>0</v>
      </c>
      <c r="N31">
        <v>0</v>
      </c>
      <c r="O31">
        <v>0</v>
      </c>
    </row>
    <row r="32" spans="1:15" x14ac:dyDescent="0.3">
      <c r="B32">
        <v>65.91</v>
      </c>
      <c r="C32">
        <v>0</v>
      </c>
      <c r="D32">
        <v>0</v>
      </c>
      <c r="E32">
        <v>1.6</v>
      </c>
      <c r="F32">
        <v>0.89</v>
      </c>
      <c r="G32">
        <v>3.11</v>
      </c>
      <c r="H32">
        <v>4.59</v>
      </c>
      <c r="I32">
        <v>0.44</v>
      </c>
      <c r="J32">
        <v>16.55</v>
      </c>
      <c r="K32">
        <v>3.42</v>
      </c>
      <c r="L32">
        <v>1.62</v>
      </c>
      <c r="M32">
        <v>0.3</v>
      </c>
      <c r="N32">
        <v>0</v>
      </c>
      <c r="O32">
        <v>0</v>
      </c>
    </row>
    <row r="33" spans="2:15" x14ac:dyDescent="0.3">
      <c r="B33">
        <v>31.94</v>
      </c>
      <c r="C33">
        <v>1</v>
      </c>
      <c r="D33">
        <v>1.23</v>
      </c>
      <c r="E33">
        <v>0.47</v>
      </c>
      <c r="F33">
        <v>0</v>
      </c>
      <c r="G33">
        <v>3.72</v>
      </c>
      <c r="H33">
        <v>0</v>
      </c>
      <c r="I33">
        <v>3.01</v>
      </c>
      <c r="J33">
        <v>30.14</v>
      </c>
      <c r="K33">
        <v>27.23</v>
      </c>
      <c r="L33">
        <v>0.14000000000000001</v>
      </c>
      <c r="M33">
        <v>0.31</v>
      </c>
      <c r="N33">
        <v>1</v>
      </c>
      <c r="O33">
        <v>4.66</v>
      </c>
    </row>
    <row r="34" spans="2:15" x14ac:dyDescent="0.3">
      <c r="B34">
        <v>60.12</v>
      </c>
      <c r="C34">
        <v>0</v>
      </c>
      <c r="D34">
        <v>0.23</v>
      </c>
      <c r="E34">
        <v>0.89</v>
      </c>
      <c r="F34">
        <v>0</v>
      </c>
      <c r="G34">
        <v>2.72</v>
      </c>
      <c r="H34">
        <v>0</v>
      </c>
      <c r="I34">
        <v>3.01</v>
      </c>
      <c r="J34">
        <v>17.239999999999998</v>
      </c>
      <c r="K34">
        <v>10.34</v>
      </c>
      <c r="L34">
        <v>1.46</v>
      </c>
      <c r="M34">
        <v>0.31</v>
      </c>
      <c r="N34">
        <v>0</v>
      </c>
      <c r="O34">
        <v>3.66</v>
      </c>
    </row>
    <row r="35" spans="2:15" x14ac:dyDescent="0.3">
      <c r="B35">
        <v>69.709999999999994</v>
      </c>
      <c r="C35">
        <v>0</v>
      </c>
      <c r="D35">
        <v>0.21</v>
      </c>
      <c r="E35">
        <v>0.46</v>
      </c>
      <c r="F35">
        <v>0</v>
      </c>
      <c r="G35">
        <v>2.36</v>
      </c>
      <c r="H35">
        <v>1</v>
      </c>
      <c r="I35">
        <v>0.11</v>
      </c>
      <c r="J35">
        <v>19.760000000000002</v>
      </c>
      <c r="K35">
        <v>4.88</v>
      </c>
      <c r="L35">
        <v>0.17</v>
      </c>
      <c r="M35">
        <v>0</v>
      </c>
      <c r="N35">
        <v>0</v>
      </c>
      <c r="O35">
        <v>0</v>
      </c>
    </row>
    <row r="36" spans="2:15" x14ac:dyDescent="0.3">
      <c r="B36">
        <v>70.709999999999994</v>
      </c>
      <c r="C36">
        <v>0</v>
      </c>
      <c r="D36">
        <v>0.21</v>
      </c>
      <c r="E36">
        <v>1.87</v>
      </c>
      <c r="F36">
        <v>1.61</v>
      </c>
      <c r="G36">
        <v>4.0599999999999996</v>
      </c>
      <c r="H36">
        <v>0</v>
      </c>
      <c r="I36">
        <v>0.11</v>
      </c>
      <c r="J36">
        <v>19.760000000000002</v>
      </c>
      <c r="K36">
        <v>4.88</v>
      </c>
      <c r="L36">
        <v>0.1</v>
      </c>
      <c r="M36">
        <v>1.85</v>
      </c>
      <c r="N36">
        <v>0</v>
      </c>
      <c r="O36">
        <v>0</v>
      </c>
    </row>
    <row r="37" spans="2:15" x14ac:dyDescent="0.3">
      <c r="B37">
        <v>32.219196052900799</v>
      </c>
      <c r="C37">
        <v>0</v>
      </c>
      <c r="D37">
        <v>0.80224515060308199</v>
      </c>
      <c r="E37">
        <v>2.1309783503000799</v>
      </c>
      <c r="F37">
        <v>0</v>
      </c>
      <c r="G37">
        <v>1.85480024071463</v>
      </c>
      <c r="H37">
        <v>0</v>
      </c>
      <c r="I37">
        <v>7.93110819969153</v>
      </c>
      <c r="J37">
        <v>31.516436671260301</v>
      </c>
      <c r="K37">
        <v>27.23</v>
      </c>
      <c r="L37">
        <v>0.14000000000000001</v>
      </c>
      <c r="M37">
        <v>1.91</v>
      </c>
      <c r="N37">
        <v>0.45105799491078302</v>
      </c>
      <c r="O37">
        <v>1</v>
      </c>
    </row>
    <row r="38" spans="2:15" x14ac:dyDescent="0.3">
      <c r="B38">
        <v>31.94</v>
      </c>
      <c r="C38">
        <v>0</v>
      </c>
      <c r="D38">
        <v>0</v>
      </c>
      <c r="E38">
        <v>0.47</v>
      </c>
      <c r="F38">
        <v>0</v>
      </c>
      <c r="G38">
        <v>1.59</v>
      </c>
      <c r="H38">
        <v>0</v>
      </c>
      <c r="I38">
        <v>8.4600000000000009</v>
      </c>
      <c r="J38">
        <v>29.14</v>
      </c>
      <c r="K38">
        <v>26.23</v>
      </c>
      <c r="L38">
        <v>0.14000000000000001</v>
      </c>
      <c r="M38">
        <v>0.91</v>
      </c>
      <c r="N38">
        <v>0</v>
      </c>
      <c r="O38">
        <v>0</v>
      </c>
    </row>
    <row r="39" spans="2:15" x14ac:dyDescent="0.3">
      <c r="B39">
        <v>31.94</v>
      </c>
      <c r="C39">
        <v>1</v>
      </c>
      <c r="D39">
        <v>1</v>
      </c>
      <c r="E39">
        <v>0.38</v>
      </c>
      <c r="F39">
        <v>0</v>
      </c>
      <c r="G39">
        <v>1.44</v>
      </c>
      <c r="H39">
        <v>0</v>
      </c>
      <c r="I39">
        <v>9.4600000000000009</v>
      </c>
      <c r="J39">
        <v>36.193096616832001</v>
      </c>
      <c r="K39">
        <v>27.1555443447781</v>
      </c>
      <c r="L39">
        <v>0.14000000000000001</v>
      </c>
      <c r="M39">
        <v>1.91</v>
      </c>
      <c r="N39">
        <v>0</v>
      </c>
      <c r="O39">
        <v>0</v>
      </c>
    </row>
    <row r="40" spans="2:15" x14ac:dyDescent="0.3">
      <c r="B40">
        <v>65.91</v>
      </c>
      <c r="C40">
        <v>0</v>
      </c>
      <c r="D40">
        <v>0</v>
      </c>
      <c r="E40">
        <v>1.6</v>
      </c>
      <c r="F40">
        <v>0.89</v>
      </c>
      <c r="G40">
        <v>3.11</v>
      </c>
      <c r="H40">
        <v>4.59</v>
      </c>
      <c r="I40">
        <v>0.44</v>
      </c>
      <c r="J40">
        <v>16.55</v>
      </c>
      <c r="K40">
        <v>3.42</v>
      </c>
      <c r="L40">
        <v>1.62</v>
      </c>
      <c r="M40">
        <v>0.3</v>
      </c>
      <c r="N40">
        <v>0</v>
      </c>
      <c r="O40">
        <v>0</v>
      </c>
    </row>
    <row r="41" spans="2:15" x14ac:dyDescent="0.3">
      <c r="B41">
        <v>65.91</v>
      </c>
      <c r="C41">
        <v>0</v>
      </c>
      <c r="D41">
        <v>0</v>
      </c>
      <c r="E41">
        <v>1.6</v>
      </c>
      <c r="F41">
        <v>0.89</v>
      </c>
      <c r="G41">
        <v>3.11</v>
      </c>
      <c r="H41">
        <v>4.59</v>
      </c>
      <c r="I41">
        <v>0.44</v>
      </c>
      <c r="J41">
        <v>16.55</v>
      </c>
      <c r="K41">
        <v>3.42</v>
      </c>
      <c r="L41">
        <v>1.62</v>
      </c>
      <c r="M41">
        <v>0.3</v>
      </c>
      <c r="N41">
        <v>0</v>
      </c>
      <c r="O41">
        <v>0</v>
      </c>
    </row>
    <row r="42" spans="2:15" x14ac:dyDescent="0.3">
      <c r="B42">
        <v>65.91</v>
      </c>
      <c r="C42">
        <v>0</v>
      </c>
      <c r="D42">
        <v>0</v>
      </c>
      <c r="E42">
        <v>1.6</v>
      </c>
      <c r="F42">
        <v>0.89</v>
      </c>
      <c r="G42">
        <v>3.11</v>
      </c>
      <c r="H42">
        <v>4.59</v>
      </c>
      <c r="I42">
        <v>0.44</v>
      </c>
      <c r="J42">
        <v>16.55</v>
      </c>
      <c r="K42">
        <v>3.42</v>
      </c>
      <c r="L42">
        <v>1.62</v>
      </c>
      <c r="M42">
        <v>0.3</v>
      </c>
      <c r="N42">
        <v>0</v>
      </c>
      <c r="O42">
        <v>0</v>
      </c>
    </row>
    <row r="43" spans="2:15" x14ac:dyDescent="0.3">
      <c r="B43">
        <v>34.340000000000003</v>
      </c>
      <c r="C43">
        <v>1</v>
      </c>
      <c r="D43">
        <v>0</v>
      </c>
      <c r="E43">
        <v>4.24</v>
      </c>
      <c r="F43">
        <v>1.98</v>
      </c>
      <c r="G43">
        <v>3.86</v>
      </c>
      <c r="H43">
        <v>3.74</v>
      </c>
      <c r="I43">
        <v>0.874131681470533</v>
      </c>
      <c r="J43">
        <v>40.22</v>
      </c>
      <c r="K43">
        <v>11.35</v>
      </c>
      <c r="L43">
        <v>0</v>
      </c>
      <c r="M43">
        <v>1.48</v>
      </c>
      <c r="N43">
        <v>1.44</v>
      </c>
      <c r="O43">
        <v>0.92619257816128897</v>
      </c>
    </row>
    <row r="44" spans="2:15" x14ac:dyDescent="0.3">
      <c r="B44">
        <v>65.91</v>
      </c>
      <c r="C44">
        <v>0</v>
      </c>
      <c r="D44">
        <v>0</v>
      </c>
      <c r="E44">
        <v>1.6</v>
      </c>
      <c r="F44">
        <v>0.89</v>
      </c>
      <c r="G44">
        <v>3.11</v>
      </c>
      <c r="H44">
        <v>4.59</v>
      </c>
      <c r="I44">
        <v>0.44</v>
      </c>
      <c r="J44">
        <v>16.55</v>
      </c>
      <c r="K44">
        <v>3.42</v>
      </c>
      <c r="L44">
        <v>1.62</v>
      </c>
      <c r="M44">
        <v>0.3</v>
      </c>
      <c r="N44">
        <v>0</v>
      </c>
      <c r="O44">
        <v>0</v>
      </c>
    </row>
    <row r="45" spans="2:15" x14ac:dyDescent="0.3">
      <c r="B45">
        <v>65.91</v>
      </c>
      <c r="C45">
        <v>0</v>
      </c>
      <c r="D45">
        <v>0</v>
      </c>
      <c r="E45">
        <v>1.6</v>
      </c>
      <c r="F45">
        <v>0.89</v>
      </c>
      <c r="G45">
        <v>3.11</v>
      </c>
      <c r="H45">
        <v>4.59</v>
      </c>
      <c r="I45">
        <v>0.44</v>
      </c>
      <c r="J45">
        <v>16.55</v>
      </c>
      <c r="K45">
        <v>3.42</v>
      </c>
      <c r="L45">
        <v>1.62</v>
      </c>
      <c r="M45">
        <v>0.3</v>
      </c>
      <c r="N45">
        <v>0</v>
      </c>
      <c r="O45">
        <v>0</v>
      </c>
    </row>
    <row r="46" spans="2:15" x14ac:dyDescent="0.3">
      <c r="B46">
        <v>36.93</v>
      </c>
      <c r="C46">
        <v>0</v>
      </c>
      <c r="D46">
        <v>1</v>
      </c>
      <c r="E46">
        <v>1.6</v>
      </c>
      <c r="F46">
        <v>0.51</v>
      </c>
      <c r="G46">
        <v>4.8600000000000003</v>
      </c>
      <c r="H46">
        <v>5.59</v>
      </c>
      <c r="I46">
        <v>0</v>
      </c>
      <c r="J46">
        <v>38.74</v>
      </c>
      <c r="K46">
        <v>3.42</v>
      </c>
      <c r="L46">
        <v>2.62</v>
      </c>
      <c r="M46">
        <v>0.3</v>
      </c>
      <c r="N46">
        <v>1.44</v>
      </c>
      <c r="O46">
        <v>1</v>
      </c>
    </row>
    <row r="47" spans="2:15" x14ac:dyDescent="0.3">
      <c r="B47">
        <v>66.91</v>
      </c>
      <c r="C47">
        <v>1</v>
      </c>
      <c r="D47">
        <v>0</v>
      </c>
      <c r="E47">
        <v>2.6</v>
      </c>
      <c r="F47">
        <v>1.89</v>
      </c>
      <c r="G47">
        <v>4.1100000000000003</v>
      </c>
      <c r="H47">
        <v>0.17</v>
      </c>
      <c r="I47">
        <v>1.44</v>
      </c>
      <c r="J47">
        <v>16.55</v>
      </c>
      <c r="K47">
        <v>3.42</v>
      </c>
      <c r="L47">
        <v>0.42</v>
      </c>
      <c r="M47">
        <v>1.3</v>
      </c>
      <c r="N47">
        <v>0</v>
      </c>
      <c r="O47">
        <v>1</v>
      </c>
    </row>
    <row r="48" spans="2:15" x14ac:dyDescent="0.3">
      <c r="B48">
        <v>65.91</v>
      </c>
      <c r="C48">
        <v>0</v>
      </c>
      <c r="D48">
        <v>0</v>
      </c>
      <c r="E48">
        <v>1.6</v>
      </c>
      <c r="F48">
        <v>0.89</v>
      </c>
      <c r="G48">
        <v>3.11</v>
      </c>
      <c r="H48">
        <v>4.59</v>
      </c>
      <c r="I48">
        <v>0.44</v>
      </c>
      <c r="J48">
        <v>16.55</v>
      </c>
      <c r="K48">
        <v>3.42</v>
      </c>
      <c r="L48">
        <v>1.62</v>
      </c>
      <c r="M48">
        <v>0.3</v>
      </c>
      <c r="N48">
        <v>0</v>
      </c>
      <c r="O48">
        <v>0</v>
      </c>
    </row>
    <row r="49" spans="2:15" x14ac:dyDescent="0.3">
      <c r="B49">
        <v>75.648102862392093</v>
      </c>
      <c r="C49">
        <v>0</v>
      </c>
      <c r="D49">
        <v>1.29</v>
      </c>
      <c r="E49">
        <v>1.87</v>
      </c>
      <c r="F49">
        <v>0.61</v>
      </c>
      <c r="G49">
        <v>2.35</v>
      </c>
      <c r="H49">
        <v>0</v>
      </c>
      <c r="I49">
        <v>1.77</v>
      </c>
      <c r="J49">
        <v>16.16</v>
      </c>
      <c r="K49">
        <v>3.55</v>
      </c>
      <c r="L49">
        <v>0.64563636951098402</v>
      </c>
      <c r="M49">
        <v>0</v>
      </c>
      <c r="N49">
        <v>1</v>
      </c>
      <c r="O49">
        <v>1</v>
      </c>
    </row>
    <row r="50" spans="2:15" x14ac:dyDescent="0.3">
      <c r="B50">
        <v>55.21</v>
      </c>
      <c r="C50">
        <v>0</v>
      </c>
      <c r="D50">
        <v>0.25</v>
      </c>
      <c r="E50">
        <v>0</v>
      </c>
      <c r="F50">
        <v>1.67</v>
      </c>
      <c r="G50">
        <v>4.79</v>
      </c>
      <c r="H50">
        <v>0</v>
      </c>
      <c r="I50">
        <v>0.77</v>
      </c>
      <c r="J50">
        <v>25.25</v>
      </c>
      <c r="K50">
        <v>10.06</v>
      </c>
      <c r="L50">
        <v>0.2</v>
      </c>
      <c r="M50">
        <v>0.43</v>
      </c>
      <c r="N50">
        <v>0</v>
      </c>
      <c r="O50">
        <v>0</v>
      </c>
    </row>
    <row r="51" spans="2:15" x14ac:dyDescent="0.3">
      <c r="B51">
        <v>31.94</v>
      </c>
      <c r="C51">
        <v>0</v>
      </c>
      <c r="D51">
        <v>0</v>
      </c>
      <c r="E51">
        <v>0.38</v>
      </c>
      <c r="F51">
        <v>0</v>
      </c>
      <c r="G51">
        <v>1.44</v>
      </c>
      <c r="H51">
        <v>0</v>
      </c>
      <c r="I51">
        <v>9.4600000000000009</v>
      </c>
      <c r="J51">
        <v>22.05</v>
      </c>
      <c r="K51">
        <v>27.23</v>
      </c>
      <c r="L51">
        <v>0.14000000000000001</v>
      </c>
      <c r="M51">
        <v>0</v>
      </c>
      <c r="N51">
        <v>0</v>
      </c>
      <c r="O51">
        <v>0</v>
      </c>
    </row>
    <row r="52" spans="2:15" x14ac:dyDescent="0.3">
      <c r="B52">
        <v>31.94</v>
      </c>
      <c r="C52">
        <v>3.71</v>
      </c>
      <c r="D52">
        <v>0</v>
      </c>
      <c r="E52">
        <v>0.38</v>
      </c>
      <c r="F52">
        <v>1</v>
      </c>
      <c r="G52">
        <v>1.44</v>
      </c>
      <c r="H52">
        <v>0</v>
      </c>
      <c r="I52">
        <v>9.4600000000000009</v>
      </c>
      <c r="J52">
        <v>22.05</v>
      </c>
      <c r="K52">
        <v>27.23</v>
      </c>
      <c r="L52">
        <v>0.14000000000000001</v>
      </c>
      <c r="M52">
        <v>0</v>
      </c>
      <c r="N52">
        <v>0</v>
      </c>
      <c r="O52">
        <v>0</v>
      </c>
    </row>
    <row r="53" spans="2:15" x14ac:dyDescent="0.3">
      <c r="B53">
        <v>65.91</v>
      </c>
      <c r="C53">
        <v>0</v>
      </c>
      <c r="D53">
        <v>0</v>
      </c>
      <c r="E53">
        <v>1.6</v>
      </c>
      <c r="F53">
        <v>0.89</v>
      </c>
      <c r="G53">
        <v>3.11</v>
      </c>
      <c r="H53">
        <v>4.59</v>
      </c>
      <c r="I53">
        <v>0.44</v>
      </c>
      <c r="J53">
        <v>16.55</v>
      </c>
      <c r="K53">
        <v>3.42</v>
      </c>
      <c r="L53">
        <v>1.62</v>
      </c>
      <c r="M53">
        <v>0.3</v>
      </c>
      <c r="N53">
        <v>0</v>
      </c>
      <c r="O53">
        <v>0</v>
      </c>
    </row>
  </sheetData>
  <phoneticPr fontId="2" type="noConversion"/>
  <conditionalFormatting sqref="B2:O2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{183B6E34-6C53-4EF4-A14D-C9C2E859517E}</x14:id>
        </ext>
      </extLst>
    </cfRule>
  </conditionalFormatting>
  <conditionalFormatting sqref="B28:O5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{53B6DBFD-9FEA-4F8B-8B65-B17BFA5B3220}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3B6E34-6C53-4EF4-A14D-C9C2E85951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B2:O24</xm:sqref>
        </x14:conditionalFormatting>
        <x14:conditionalFormatting xmlns:xm="http://schemas.microsoft.com/office/excel/2006/main">
          <x14:cfRule type="dataBar" id="{53B6DBFD-9FEA-4F8B-8B65-B17BFA5B32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B28:O53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4C87-D1CB-45A9-B07A-86CAB8DE8FC2}">
  <dimension ref="A1:O27"/>
  <sheetViews>
    <sheetView zoomScale="76" zoomScaleNormal="76" workbookViewId="0">
      <selection activeCell="B2" sqref="B2:O27"/>
    </sheetView>
  </sheetViews>
  <sheetFormatPr defaultRowHeight="14" x14ac:dyDescent="0.3"/>
  <cols>
    <col min="1" max="1" width="11.4140625" bestFit="1" customWidth="1"/>
  </cols>
  <sheetData>
    <row r="1" spans="1:15" ht="2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15" t="s">
        <v>35</v>
      </c>
      <c r="B2" s="4">
        <v>36.28</v>
      </c>
      <c r="C2" s="4">
        <v>0</v>
      </c>
      <c r="D2" s="4">
        <v>1.05</v>
      </c>
      <c r="E2" s="4">
        <v>2.34</v>
      </c>
      <c r="F2" s="4">
        <v>1.18</v>
      </c>
      <c r="G2" s="4">
        <v>5.73</v>
      </c>
      <c r="H2" s="4">
        <v>1.86</v>
      </c>
      <c r="I2" s="4">
        <v>0.26</v>
      </c>
      <c r="J2" s="4">
        <v>47.43</v>
      </c>
      <c r="K2" s="4">
        <v>0</v>
      </c>
      <c r="L2" s="4">
        <v>3.57</v>
      </c>
      <c r="M2" s="4">
        <v>0.19</v>
      </c>
      <c r="N2" s="4">
        <v>0</v>
      </c>
      <c r="O2" s="4">
        <v>0</v>
      </c>
    </row>
    <row r="3" spans="1:15" x14ac:dyDescent="0.3">
      <c r="A3" s="15" t="s">
        <v>36</v>
      </c>
      <c r="B3" s="4">
        <v>20.14</v>
      </c>
      <c r="C3" s="4">
        <v>0</v>
      </c>
      <c r="D3" s="4">
        <v>0</v>
      </c>
      <c r="E3" s="4">
        <v>1.48</v>
      </c>
      <c r="F3" s="4">
        <v>0</v>
      </c>
      <c r="G3" s="4">
        <v>1.34</v>
      </c>
      <c r="H3" s="4">
        <v>0</v>
      </c>
      <c r="I3" s="4">
        <v>10.41</v>
      </c>
      <c r="J3" s="4">
        <v>28.68</v>
      </c>
      <c r="K3" s="4">
        <v>31.23</v>
      </c>
      <c r="L3" s="4">
        <v>3.59</v>
      </c>
      <c r="M3" s="4">
        <v>0.37</v>
      </c>
      <c r="N3" s="4">
        <v>0</v>
      </c>
      <c r="O3" s="4">
        <v>2.58</v>
      </c>
    </row>
    <row r="4" spans="1:15" x14ac:dyDescent="0.3">
      <c r="A4" s="15" t="s">
        <v>37</v>
      </c>
      <c r="B4" s="4">
        <v>4.6100000000000003</v>
      </c>
      <c r="C4" s="4">
        <v>0</v>
      </c>
      <c r="D4" s="4">
        <v>0</v>
      </c>
      <c r="E4" s="4">
        <v>3.19</v>
      </c>
      <c r="F4" s="4">
        <v>0</v>
      </c>
      <c r="G4" s="4">
        <v>1.1100000000000001</v>
      </c>
      <c r="H4" s="4">
        <v>0</v>
      </c>
      <c r="I4" s="4">
        <v>3.14</v>
      </c>
      <c r="J4" s="4">
        <v>32.450000000000003</v>
      </c>
      <c r="K4" s="4">
        <v>30.62</v>
      </c>
      <c r="L4" s="4">
        <v>7.56</v>
      </c>
      <c r="M4" s="4">
        <v>0.53</v>
      </c>
      <c r="N4" s="4">
        <v>0</v>
      </c>
      <c r="O4" s="4">
        <v>15.03</v>
      </c>
    </row>
    <row r="5" spans="1:15" x14ac:dyDescent="0.3">
      <c r="A5" s="15" t="s">
        <v>38</v>
      </c>
      <c r="B5" s="4">
        <v>33.590000000000003</v>
      </c>
      <c r="C5" s="4">
        <v>0</v>
      </c>
      <c r="D5" s="4">
        <v>0.21</v>
      </c>
      <c r="E5" s="4">
        <v>3.51</v>
      </c>
      <c r="F5" s="4">
        <v>0.71</v>
      </c>
      <c r="G5" s="4">
        <v>2.69</v>
      </c>
      <c r="H5" s="4">
        <v>0</v>
      </c>
      <c r="I5" s="4">
        <v>4.93</v>
      </c>
      <c r="J5" s="4">
        <v>25.39</v>
      </c>
      <c r="K5" s="4">
        <v>14.61</v>
      </c>
      <c r="L5" s="4">
        <v>9.3800000000000008</v>
      </c>
      <c r="M5" s="4">
        <v>0.37</v>
      </c>
      <c r="N5" s="4">
        <v>0</v>
      </c>
      <c r="O5" s="4">
        <v>0</v>
      </c>
    </row>
    <row r="6" spans="1:15" x14ac:dyDescent="0.3">
      <c r="A6" s="15" t="s">
        <v>39</v>
      </c>
      <c r="B6" s="4">
        <v>29.64</v>
      </c>
      <c r="C6" s="4">
        <v>0</v>
      </c>
      <c r="D6" s="4">
        <v>0</v>
      </c>
      <c r="E6" s="4">
        <v>2.93</v>
      </c>
      <c r="F6" s="4">
        <v>0.59</v>
      </c>
      <c r="G6" s="4">
        <v>3.57</v>
      </c>
      <c r="H6" s="4">
        <v>1.33</v>
      </c>
      <c r="I6" s="4">
        <v>3.51</v>
      </c>
      <c r="J6" s="4">
        <v>42.82</v>
      </c>
      <c r="K6" s="4">
        <v>5.35</v>
      </c>
      <c r="L6" s="4">
        <v>8.83</v>
      </c>
      <c r="M6" s="4">
        <v>0.19</v>
      </c>
      <c r="N6" s="4">
        <v>0</v>
      </c>
      <c r="O6" s="4">
        <v>0</v>
      </c>
    </row>
    <row r="7" spans="1:15" x14ac:dyDescent="0.3">
      <c r="A7" s="15" t="s">
        <v>42</v>
      </c>
      <c r="B7" s="4">
        <v>19.79</v>
      </c>
      <c r="C7" s="4">
        <v>0</v>
      </c>
      <c r="D7" s="4">
        <v>0</v>
      </c>
      <c r="E7" s="4">
        <v>1.44</v>
      </c>
      <c r="F7" s="4">
        <v>0</v>
      </c>
      <c r="G7" s="4">
        <v>0.7</v>
      </c>
      <c r="H7" s="4">
        <v>0</v>
      </c>
      <c r="I7" s="4">
        <v>10.57</v>
      </c>
      <c r="J7" s="4">
        <v>29.53</v>
      </c>
      <c r="K7" s="4">
        <v>32.25</v>
      </c>
      <c r="L7" s="4">
        <v>3.13</v>
      </c>
      <c r="M7" s="4">
        <v>0.45</v>
      </c>
      <c r="N7" s="4">
        <v>0</v>
      </c>
      <c r="O7" s="4">
        <v>1.96</v>
      </c>
    </row>
    <row r="8" spans="1:15" x14ac:dyDescent="0.3">
      <c r="A8" s="15" t="s">
        <v>43</v>
      </c>
      <c r="B8" s="4">
        <v>3.72</v>
      </c>
      <c r="C8" s="4">
        <v>0</v>
      </c>
      <c r="D8" s="4">
        <v>0.4</v>
      </c>
      <c r="E8" s="4">
        <v>3.01</v>
      </c>
      <c r="F8" s="4">
        <v>0</v>
      </c>
      <c r="G8" s="4">
        <v>1.18</v>
      </c>
      <c r="H8" s="4">
        <v>0</v>
      </c>
      <c r="I8" s="4">
        <v>3.6</v>
      </c>
      <c r="J8" s="4">
        <v>29.92</v>
      </c>
      <c r="K8" s="4">
        <v>35.450000000000003</v>
      </c>
      <c r="L8" s="4">
        <v>6.04</v>
      </c>
      <c r="M8" s="4">
        <v>0.62</v>
      </c>
      <c r="N8" s="4">
        <v>0</v>
      </c>
      <c r="O8" s="4">
        <v>15.95</v>
      </c>
    </row>
    <row r="9" spans="1:15" x14ac:dyDescent="0.3">
      <c r="A9" s="15" t="s">
        <v>46</v>
      </c>
      <c r="B9" s="4">
        <v>35.78</v>
      </c>
      <c r="C9" s="4">
        <v>0</v>
      </c>
      <c r="D9" s="4">
        <v>0.25</v>
      </c>
      <c r="E9" s="4">
        <v>0.78</v>
      </c>
      <c r="F9" s="4">
        <v>0</v>
      </c>
      <c r="G9" s="4">
        <v>1.62</v>
      </c>
      <c r="H9" s="4">
        <v>0.47</v>
      </c>
      <c r="I9" s="4">
        <v>1.51</v>
      </c>
      <c r="J9" s="4">
        <v>46.55</v>
      </c>
      <c r="K9" s="4">
        <v>10</v>
      </c>
      <c r="L9" s="4">
        <v>0.34</v>
      </c>
      <c r="M9" s="4">
        <v>0.22</v>
      </c>
      <c r="N9" s="4">
        <v>0</v>
      </c>
      <c r="O9" s="16">
        <v>0</v>
      </c>
    </row>
    <row r="10" spans="1:15" x14ac:dyDescent="0.3">
      <c r="A10" s="15" t="s">
        <v>47</v>
      </c>
      <c r="B10" s="4">
        <v>39.57</v>
      </c>
      <c r="C10" s="4">
        <v>2.2200000000000002</v>
      </c>
      <c r="D10" s="4">
        <v>0.14000000000000001</v>
      </c>
      <c r="E10" s="4">
        <v>0.37</v>
      </c>
      <c r="F10" s="4">
        <v>0</v>
      </c>
      <c r="G10" s="4">
        <v>1.6</v>
      </c>
      <c r="H10" s="4">
        <v>0.32</v>
      </c>
      <c r="I10" s="4">
        <v>0.68</v>
      </c>
      <c r="J10" s="4">
        <v>41.61</v>
      </c>
      <c r="K10" s="4">
        <v>10.83</v>
      </c>
      <c r="L10" s="4">
        <v>7.0000000000000007E-2</v>
      </c>
      <c r="M10" s="4">
        <v>0.22</v>
      </c>
      <c r="N10" s="4">
        <v>0</v>
      </c>
      <c r="O10" s="16">
        <v>0</v>
      </c>
    </row>
    <row r="11" spans="1:15" x14ac:dyDescent="0.3">
      <c r="A11" s="15" t="s">
        <v>48</v>
      </c>
      <c r="B11" s="4">
        <v>32.93</v>
      </c>
      <c r="C11" s="4">
        <v>1.38</v>
      </c>
      <c r="D11" s="4">
        <v>0</v>
      </c>
      <c r="E11" s="4">
        <v>0.68</v>
      </c>
      <c r="F11" s="4">
        <v>0</v>
      </c>
      <c r="G11" s="4">
        <v>2.57</v>
      </c>
      <c r="H11" s="4">
        <v>0.28999999999999998</v>
      </c>
      <c r="I11" s="4">
        <v>0.73</v>
      </c>
      <c r="J11" s="4">
        <v>49.31</v>
      </c>
      <c r="K11" s="4">
        <v>9.7899999999999991</v>
      </c>
      <c r="L11" s="4">
        <v>0.48</v>
      </c>
      <c r="M11" s="4">
        <v>0.41</v>
      </c>
      <c r="N11" s="4">
        <v>0</v>
      </c>
      <c r="O11" s="16">
        <v>0</v>
      </c>
    </row>
    <row r="12" spans="1:15" x14ac:dyDescent="0.3">
      <c r="A12" s="15" t="s">
        <v>49</v>
      </c>
      <c r="B12" s="4">
        <v>26.25</v>
      </c>
      <c r="C12" s="4">
        <v>0</v>
      </c>
      <c r="D12" s="4">
        <v>0</v>
      </c>
      <c r="E12" s="4">
        <v>1.1100000000000001</v>
      </c>
      <c r="F12" s="4">
        <v>0</v>
      </c>
      <c r="G12" s="4">
        <v>0.5</v>
      </c>
      <c r="H12" s="4">
        <v>0</v>
      </c>
      <c r="I12" s="4">
        <v>0.88</v>
      </c>
      <c r="J12" s="4">
        <v>61.03</v>
      </c>
      <c r="K12" s="4">
        <v>7.22</v>
      </c>
      <c r="L12" s="4">
        <v>1.1599999999999999</v>
      </c>
      <c r="M12" s="4">
        <v>0.61</v>
      </c>
      <c r="N12" s="4">
        <v>0</v>
      </c>
      <c r="O12" s="16">
        <v>0</v>
      </c>
    </row>
    <row r="13" spans="1:15" x14ac:dyDescent="0.3">
      <c r="A13" s="15" t="s">
        <v>50</v>
      </c>
      <c r="B13" s="4">
        <v>16.71</v>
      </c>
      <c r="C13" s="4">
        <v>0</v>
      </c>
      <c r="D13" s="4">
        <v>0</v>
      </c>
      <c r="E13" s="4">
        <v>1.87</v>
      </c>
      <c r="F13" s="4">
        <v>0</v>
      </c>
      <c r="G13" s="4">
        <v>0.45</v>
      </c>
      <c r="H13" s="4">
        <v>0.19</v>
      </c>
      <c r="I13" s="4">
        <v>0</v>
      </c>
      <c r="J13" s="4">
        <v>70.209999999999994</v>
      </c>
      <c r="K13" s="4">
        <v>6.69</v>
      </c>
      <c r="L13" s="4">
        <v>1.77</v>
      </c>
      <c r="M13" s="4">
        <v>0.68</v>
      </c>
      <c r="N13" s="4">
        <v>0</v>
      </c>
      <c r="O13" s="16">
        <v>0</v>
      </c>
    </row>
    <row r="14" spans="1:15" ht="18" customHeight="1" x14ac:dyDescent="0.3">
      <c r="A14" s="15" t="s">
        <v>51</v>
      </c>
      <c r="B14" s="4">
        <v>18.46</v>
      </c>
      <c r="C14" s="4">
        <v>0</v>
      </c>
      <c r="D14" s="4">
        <v>0.44</v>
      </c>
      <c r="E14" s="4">
        <v>4.96</v>
      </c>
      <c r="F14" s="4">
        <v>2.73</v>
      </c>
      <c r="G14" s="4">
        <v>3.33</v>
      </c>
      <c r="H14" s="4">
        <v>1.79</v>
      </c>
      <c r="I14" s="4">
        <v>0.19</v>
      </c>
      <c r="J14" s="4">
        <v>44.12</v>
      </c>
      <c r="K14" s="4">
        <v>9.76</v>
      </c>
      <c r="L14" s="4">
        <v>7.46</v>
      </c>
      <c r="M14" s="4">
        <v>0.47</v>
      </c>
      <c r="N14" s="4">
        <v>0</v>
      </c>
      <c r="O14" s="16">
        <v>0</v>
      </c>
    </row>
    <row r="15" spans="1:15" x14ac:dyDescent="0.3">
      <c r="A15" s="15" t="s">
        <v>54</v>
      </c>
      <c r="B15" s="4">
        <v>12.41</v>
      </c>
      <c r="C15" s="4">
        <v>0</v>
      </c>
      <c r="D15" s="4">
        <v>0</v>
      </c>
      <c r="E15" s="4">
        <v>5.24</v>
      </c>
      <c r="F15" s="4">
        <v>0.89</v>
      </c>
      <c r="G15" s="4">
        <v>2.25</v>
      </c>
      <c r="H15" s="4">
        <v>0.76</v>
      </c>
      <c r="I15" s="4">
        <v>5.35</v>
      </c>
      <c r="J15" s="4">
        <v>59.85</v>
      </c>
      <c r="K15" s="4">
        <v>7.29</v>
      </c>
      <c r="L15" s="4">
        <v>0</v>
      </c>
      <c r="M15" s="4">
        <v>0.64</v>
      </c>
      <c r="N15" s="4">
        <v>0</v>
      </c>
      <c r="O15" s="16">
        <v>0</v>
      </c>
    </row>
    <row r="16" spans="1:15" x14ac:dyDescent="0.3">
      <c r="A16" s="15" t="s">
        <v>55</v>
      </c>
      <c r="B16" s="4">
        <v>21.7</v>
      </c>
      <c r="C16" s="4">
        <v>0</v>
      </c>
      <c r="D16" s="4">
        <v>0</v>
      </c>
      <c r="E16" s="4">
        <v>6.4</v>
      </c>
      <c r="F16" s="4">
        <v>0.95</v>
      </c>
      <c r="G16" s="4">
        <v>3.41</v>
      </c>
      <c r="H16" s="4">
        <v>1.39</v>
      </c>
      <c r="I16" s="4">
        <v>1.51</v>
      </c>
      <c r="J16" s="4">
        <v>44.75</v>
      </c>
      <c r="K16" s="4">
        <v>3.26</v>
      </c>
      <c r="L16" s="4">
        <v>12.83</v>
      </c>
      <c r="M16" s="4">
        <v>0.47</v>
      </c>
      <c r="N16" s="4">
        <v>0</v>
      </c>
      <c r="O16" s="16">
        <v>0</v>
      </c>
    </row>
    <row r="17" spans="1:15" x14ac:dyDescent="0.3">
      <c r="A17" s="15" t="s">
        <v>57</v>
      </c>
      <c r="B17" s="4">
        <v>53.33</v>
      </c>
      <c r="C17" s="4">
        <v>0.8</v>
      </c>
      <c r="D17" s="4">
        <v>0.32</v>
      </c>
      <c r="E17" s="4">
        <v>2.82</v>
      </c>
      <c r="F17" s="4">
        <v>1.54</v>
      </c>
      <c r="G17" s="4">
        <v>13.65</v>
      </c>
      <c r="H17" s="4">
        <v>1.03</v>
      </c>
      <c r="I17" s="4">
        <v>0</v>
      </c>
      <c r="J17" s="4">
        <v>15.71</v>
      </c>
      <c r="K17" s="4">
        <v>7.31</v>
      </c>
      <c r="L17" s="4">
        <v>1.1000000000000001</v>
      </c>
      <c r="M17" s="4">
        <v>0.25</v>
      </c>
      <c r="N17" s="4">
        <v>1.31</v>
      </c>
      <c r="O17" s="16">
        <v>0</v>
      </c>
    </row>
    <row r="18" spans="1:15" x14ac:dyDescent="0.3">
      <c r="A18" s="15" t="s">
        <v>58</v>
      </c>
      <c r="B18" s="4">
        <v>28.79</v>
      </c>
      <c r="C18" s="4">
        <v>0</v>
      </c>
      <c r="D18" s="4">
        <v>0</v>
      </c>
      <c r="E18" s="4">
        <v>4.58</v>
      </c>
      <c r="F18" s="4">
        <v>1.47</v>
      </c>
      <c r="G18" s="4">
        <v>5.38</v>
      </c>
      <c r="H18" s="4">
        <v>2.74</v>
      </c>
      <c r="I18" s="4">
        <v>0.7</v>
      </c>
      <c r="J18" s="4">
        <v>34.18</v>
      </c>
      <c r="K18" s="4">
        <v>6.1</v>
      </c>
      <c r="L18" s="4">
        <v>11.1</v>
      </c>
      <c r="M18" s="4">
        <v>0.46</v>
      </c>
      <c r="N18" s="4">
        <v>0</v>
      </c>
      <c r="O18" s="16">
        <v>0</v>
      </c>
    </row>
    <row r="19" spans="1:15" x14ac:dyDescent="0.3">
      <c r="A19" s="15" t="s">
        <v>60</v>
      </c>
      <c r="B19" s="4">
        <v>17.98</v>
      </c>
      <c r="C19" s="4">
        <v>0</v>
      </c>
      <c r="D19" s="4">
        <v>0</v>
      </c>
      <c r="E19" s="4">
        <v>3.19</v>
      </c>
      <c r="F19" s="4">
        <v>0.47</v>
      </c>
      <c r="G19" s="4">
        <v>1.87</v>
      </c>
      <c r="H19" s="4">
        <v>0.33</v>
      </c>
      <c r="I19" s="4">
        <v>1.1299999999999999</v>
      </c>
      <c r="J19" s="4">
        <v>44</v>
      </c>
      <c r="K19" s="4">
        <v>14.2</v>
      </c>
      <c r="L19" s="4">
        <v>6.34</v>
      </c>
      <c r="M19" s="4">
        <v>0.66</v>
      </c>
      <c r="N19" s="4">
        <v>0</v>
      </c>
      <c r="O19" s="16">
        <v>0</v>
      </c>
    </row>
    <row r="20" spans="1:15" x14ac:dyDescent="0.3">
      <c r="A20" s="15" t="s">
        <v>62</v>
      </c>
      <c r="B20" s="4">
        <v>24.61</v>
      </c>
      <c r="C20" s="4">
        <v>0</v>
      </c>
      <c r="D20" s="4">
        <v>0</v>
      </c>
      <c r="E20" s="4">
        <v>3.58</v>
      </c>
      <c r="F20" s="4">
        <v>1.19</v>
      </c>
      <c r="G20" s="4">
        <v>5.25</v>
      </c>
      <c r="H20" s="4">
        <v>1.19</v>
      </c>
      <c r="I20" s="4">
        <v>1.37</v>
      </c>
      <c r="J20" s="4">
        <v>40.24</v>
      </c>
      <c r="K20" s="4">
        <v>8.94</v>
      </c>
      <c r="L20" s="4">
        <v>8.1</v>
      </c>
      <c r="M20" s="4">
        <v>0.39</v>
      </c>
      <c r="N20" s="4">
        <v>0.47</v>
      </c>
      <c r="O20" s="16">
        <v>0</v>
      </c>
    </row>
    <row r="21" spans="1:15" x14ac:dyDescent="0.3">
      <c r="A21" s="15" t="s">
        <v>63</v>
      </c>
      <c r="B21" s="4">
        <v>21.35</v>
      </c>
      <c r="C21" s="4">
        <v>0</v>
      </c>
      <c r="D21" s="4">
        <v>0</v>
      </c>
      <c r="E21" s="4">
        <v>5.13</v>
      </c>
      <c r="F21" s="4">
        <v>1.45</v>
      </c>
      <c r="G21" s="4">
        <v>2.5099999999999998</v>
      </c>
      <c r="H21" s="4">
        <v>0.42</v>
      </c>
      <c r="I21" s="4">
        <v>0.75</v>
      </c>
      <c r="J21" s="4">
        <v>51.34</v>
      </c>
      <c r="K21" s="4">
        <v>0</v>
      </c>
      <c r="L21" s="4">
        <v>8.75</v>
      </c>
      <c r="M21" s="4">
        <v>0</v>
      </c>
      <c r="N21" s="4">
        <v>0</v>
      </c>
      <c r="O21" s="16">
        <v>0</v>
      </c>
    </row>
    <row r="22" spans="1:15" x14ac:dyDescent="0.3">
      <c r="A22" s="15" t="s">
        <v>64</v>
      </c>
      <c r="B22" s="4">
        <v>25.74</v>
      </c>
      <c r="C22" s="4">
        <v>1.22</v>
      </c>
      <c r="D22" s="4">
        <v>0</v>
      </c>
      <c r="E22" s="4">
        <v>2.27</v>
      </c>
      <c r="F22" s="4">
        <v>0.55000000000000004</v>
      </c>
      <c r="G22" s="4">
        <v>1.1599999999999999</v>
      </c>
      <c r="H22" s="4">
        <v>0.23</v>
      </c>
      <c r="I22" s="4">
        <v>0.7</v>
      </c>
      <c r="J22" s="4">
        <v>47.42</v>
      </c>
      <c r="K22" s="4">
        <v>8.64</v>
      </c>
      <c r="L22" s="4">
        <v>5.71</v>
      </c>
      <c r="M22" s="4">
        <v>0.44</v>
      </c>
      <c r="N22" s="4">
        <v>0</v>
      </c>
      <c r="O22" s="16">
        <v>0</v>
      </c>
    </row>
    <row r="23" spans="1:15" x14ac:dyDescent="0.3">
      <c r="A23" s="15" t="s">
        <v>66</v>
      </c>
      <c r="B23" s="4">
        <v>22.28</v>
      </c>
      <c r="C23" s="4">
        <v>0</v>
      </c>
      <c r="D23" s="4">
        <v>0.32</v>
      </c>
      <c r="E23" s="4">
        <v>3.19</v>
      </c>
      <c r="F23" s="4">
        <v>1.28</v>
      </c>
      <c r="G23" s="4">
        <v>4.1500000000000004</v>
      </c>
      <c r="H23" s="4">
        <v>0</v>
      </c>
      <c r="I23" s="4">
        <v>0.83</v>
      </c>
      <c r="J23" s="4">
        <v>55.46</v>
      </c>
      <c r="K23" s="4">
        <v>7.04</v>
      </c>
      <c r="L23" s="4">
        <v>4.24</v>
      </c>
      <c r="M23" s="4">
        <v>0.88</v>
      </c>
      <c r="N23" s="4">
        <v>0</v>
      </c>
      <c r="O23" s="16">
        <v>0</v>
      </c>
    </row>
    <row r="24" spans="1:15" x14ac:dyDescent="0.3">
      <c r="A24" s="15" t="s">
        <v>67</v>
      </c>
      <c r="B24" s="4">
        <v>17.11</v>
      </c>
      <c r="C24" s="4">
        <v>0</v>
      </c>
      <c r="D24" s="4">
        <v>0</v>
      </c>
      <c r="E24" s="4">
        <v>0</v>
      </c>
      <c r="F24" s="4">
        <v>1.1100000000000001</v>
      </c>
      <c r="G24" s="4">
        <v>3.65</v>
      </c>
      <c r="H24" s="4">
        <v>0</v>
      </c>
      <c r="I24" s="4">
        <v>1.34</v>
      </c>
      <c r="J24" s="4">
        <v>58.46</v>
      </c>
      <c r="K24" s="4">
        <v>0</v>
      </c>
      <c r="L24" s="4">
        <v>14.13</v>
      </c>
      <c r="M24" s="4">
        <v>1.1200000000000001</v>
      </c>
      <c r="N24" s="4">
        <v>0</v>
      </c>
      <c r="O24" s="16">
        <v>0</v>
      </c>
    </row>
    <row r="25" spans="1:15" x14ac:dyDescent="0.3">
      <c r="A25" s="15" t="s">
        <v>68</v>
      </c>
      <c r="B25" s="4">
        <v>29.15</v>
      </c>
      <c r="C25" s="4">
        <v>0</v>
      </c>
      <c r="D25" s="4">
        <v>0</v>
      </c>
      <c r="E25" s="4">
        <v>1.21</v>
      </c>
      <c r="F25" s="4">
        <v>0</v>
      </c>
      <c r="G25" s="4">
        <v>1.85</v>
      </c>
      <c r="H25" s="4">
        <v>0</v>
      </c>
      <c r="I25" s="4">
        <v>0.79</v>
      </c>
      <c r="J25" s="4">
        <v>41.25</v>
      </c>
      <c r="K25" s="4">
        <v>15.45</v>
      </c>
      <c r="L25" s="4">
        <v>2.54</v>
      </c>
      <c r="M25" s="4">
        <v>0</v>
      </c>
      <c r="N25" s="4">
        <v>0</v>
      </c>
      <c r="O25" s="16">
        <v>0</v>
      </c>
    </row>
    <row r="26" spans="1:15" x14ac:dyDescent="0.3">
      <c r="A26" s="15" t="s">
        <v>69</v>
      </c>
      <c r="B26" s="4">
        <v>25.42</v>
      </c>
      <c r="C26" s="4">
        <v>0</v>
      </c>
      <c r="D26" s="4">
        <v>0</v>
      </c>
      <c r="E26" s="4">
        <v>1.31</v>
      </c>
      <c r="F26" s="4">
        <v>0</v>
      </c>
      <c r="G26" s="4">
        <v>2.1800000000000002</v>
      </c>
      <c r="H26" s="4">
        <v>0</v>
      </c>
      <c r="I26" s="4">
        <v>1.1599999999999999</v>
      </c>
      <c r="J26" s="4">
        <v>45.1</v>
      </c>
      <c r="K26" s="4">
        <v>17.3</v>
      </c>
      <c r="L26" s="4">
        <v>0</v>
      </c>
      <c r="M26" s="4">
        <v>0</v>
      </c>
      <c r="N26" s="4">
        <v>0</v>
      </c>
      <c r="O26" s="16">
        <v>0</v>
      </c>
    </row>
    <row r="27" spans="1:15" x14ac:dyDescent="0.3">
      <c r="A27" s="15" t="s">
        <v>70</v>
      </c>
      <c r="B27" s="4">
        <v>30.39</v>
      </c>
      <c r="C27" s="4">
        <v>0</v>
      </c>
      <c r="D27" s="4">
        <v>0.34</v>
      </c>
      <c r="E27" s="4">
        <v>3.49</v>
      </c>
      <c r="F27" s="4">
        <v>0.79</v>
      </c>
      <c r="G27" s="4">
        <v>3.52</v>
      </c>
      <c r="H27" s="4">
        <v>0.86</v>
      </c>
      <c r="I27" s="4">
        <v>3.13</v>
      </c>
      <c r="J27" s="4">
        <v>39.35</v>
      </c>
      <c r="K27" s="4">
        <v>7.66</v>
      </c>
      <c r="L27" s="4">
        <v>8.99</v>
      </c>
      <c r="M27" s="4">
        <v>0.24</v>
      </c>
      <c r="N27" s="4">
        <v>0</v>
      </c>
      <c r="O27" s="4">
        <v>0</v>
      </c>
    </row>
  </sheetData>
  <phoneticPr fontId="2" type="noConversion"/>
  <conditionalFormatting sqref="B2:O2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{E586945A-415C-4F49-B30F-FC220B2F8741}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945A-415C-4F49-B30F-FC220B2F87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B2:O27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83F1E-660C-4371-BBA3-80665E2F6229}">
  <sheetPr>
    <tabColor rgb="FFFF0000"/>
  </sheetPr>
  <dimension ref="A2:O8"/>
  <sheetViews>
    <sheetView workbookViewId="0">
      <selection activeCell="A3" sqref="A3:A8"/>
    </sheetView>
  </sheetViews>
  <sheetFormatPr defaultRowHeight="14" x14ac:dyDescent="0.3"/>
  <sheetData>
    <row r="2" spans="1:15" ht="28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5" x14ac:dyDescent="0.3">
      <c r="A3" s="3" t="s">
        <v>29</v>
      </c>
      <c r="B3">
        <v>59.01</v>
      </c>
      <c r="C3">
        <v>2.86</v>
      </c>
      <c r="D3">
        <v>12.53</v>
      </c>
      <c r="E3">
        <v>8.6999999999999993</v>
      </c>
      <c r="F3">
        <v>0</v>
      </c>
      <c r="G3">
        <v>6.16</v>
      </c>
      <c r="H3">
        <v>2.88</v>
      </c>
      <c r="I3">
        <v>4.7300000000000004</v>
      </c>
      <c r="J3">
        <v>0</v>
      </c>
      <c r="K3">
        <v>0</v>
      </c>
      <c r="L3">
        <v>1.27</v>
      </c>
      <c r="M3">
        <v>0</v>
      </c>
      <c r="N3">
        <v>0</v>
      </c>
      <c r="O3">
        <v>0</v>
      </c>
    </row>
    <row r="4" spans="1:15" x14ac:dyDescent="0.3">
      <c r="A4" s="3" t="s">
        <v>30</v>
      </c>
      <c r="B4">
        <v>59.01</v>
      </c>
      <c r="C4">
        <v>2.86</v>
      </c>
      <c r="D4">
        <v>12.53</v>
      </c>
      <c r="E4">
        <v>8.6999999999999993</v>
      </c>
      <c r="F4">
        <v>0</v>
      </c>
      <c r="G4">
        <v>6.16</v>
      </c>
      <c r="H4">
        <v>2.88</v>
      </c>
      <c r="I4">
        <v>4.7300000000000004</v>
      </c>
      <c r="J4">
        <v>0</v>
      </c>
      <c r="K4">
        <v>0</v>
      </c>
      <c r="L4">
        <v>1.27</v>
      </c>
      <c r="M4">
        <v>0</v>
      </c>
      <c r="N4">
        <v>0</v>
      </c>
      <c r="O4">
        <v>0</v>
      </c>
    </row>
    <row r="5" spans="1:15" x14ac:dyDescent="0.3">
      <c r="A5" s="3" t="s">
        <v>31</v>
      </c>
      <c r="B5">
        <v>59.01</v>
      </c>
      <c r="C5">
        <v>2.86</v>
      </c>
      <c r="D5">
        <v>12.53</v>
      </c>
      <c r="E5">
        <v>8.6999999999999993</v>
      </c>
      <c r="F5">
        <v>0</v>
      </c>
      <c r="G5">
        <v>6.16</v>
      </c>
      <c r="H5">
        <v>2.88</v>
      </c>
      <c r="I5">
        <v>4.7300000000000004</v>
      </c>
      <c r="J5">
        <v>0</v>
      </c>
      <c r="K5">
        <v>0</v>
      </c>
      <c r="L5">
        <v>1.27</v>
      </c>
      <c r="M5">
        <v>0</v>
      </c>
      <c r="N5">
        <v>0</v>
      </c>
      <c r="O5">
        <v>0</v>
      </c>
    </row>
    <row r="6" spans="1:15" x14ac:dyDescent="0.3">
      <c r="A6" s="3" t="s">
        <v>32</v>
      </c>
      <c r="B6">
        <v>59.01</v>
      </c>
      <c r="C6">
        <v>2.86</v>
      </c>
      <c r="D6">
        <v>12.53</v>
      </c>
      <c r="E6">
        <v>8.6999999999999993</v>
      </c>
      <c r="F6">
        <v>0</v>
      </c>
      <c r="G6">
        <v>6.16</v>
      </c>
      <c r="H6">
        <v>2.88</v>
      </c>
      <c r="I6">
        <v>4.7300000000000004</v>
      </c>
      <c r="J6">
        <v>0</v>
      </c>
      <c r="K6">
        <v>0</v>
      </c>
      <c r="L6">
        <v>1.27</v>
      </c>
      <c r="M6">
        <v>0</v>
      </c>
      <c r="N6">
        <v>0</v>
      </c>
      <c r="O6">
        <v>0</v>
      </c>
    </row>
    <row r="7" spans="1:15" x14ac:dyDescent="0.3">
      <c r="A7" s="3" t="s">
        <v>33</v>
      </c>
      <c r="B7">
        <v>65.88</v>
      </c>
      <c r="C7">
        <v>1</v>
      </c>
      <c r="D7">
        <v>9.67</v>
      </c>
      <c r="E7">
        <v>8.1199999999999992</v>
      </c>
      <c r="F7">
        <v>0.87</v>
      </c>
      <c r="G7">
        <v>3.93</v>
      </c>
      <c r="H7">
        <v>1.74</v>
      </c>
      <c r="I7">
        <v>4.87</v>
      </c>
      <c r="J7">
        <v>0</v>
      </c>
      <c r="K7">
        <v>0</v>
      </c>
      <c r="L7">
        <v>2.17</v>
      </c>
      <c r="M7">
        <v>1</v>
      </c>
      <c r="N7">
        <v>1</v>
      </c>
      <c r="O7">
        <v>0.36</v>
      </c>
    </row>
    <row r="8" spans="1:15" x14ac:dyDescent="0.3">
      <c r="A8" s="3" t="s">
        <v>34</v>
      </c>
      <c r="B8">
        <v>65.88</v>
      </c>
      <c r="C8">
        <v>1</v>
      </c>
      <c r="D8">
        <v>10.99</v>
      </c>
      <c r="E8">
        <v>4.71</v>
      </c>
      <c r="F8">
        <v>0.87</v>
      </c>
      <c r="G8">
        <v>3.93</v>
      </c>
      <c r="H8">
        <v>1.74</v>
      </c>
      <c r="I8">
        <v>4.87</v>
      </c>
      <c r="J8">
        <v>0</v>
      </c>
      <c r="K8">
        <v>2.97</v>
      </c>
      <c r="L8">
        <v>0.79</v>
      </c>
      <c r="M8">
        <v>1</v>
      </c>
      <c r="N8">
        <v>1</v>
      </c>
      <c r="O8">
        <v>1.39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4C68-F1C7-4498-A579-114AC4D90FCD}">
  <sheetPr>
    <tabColor rgb="FFFF0000"/>
  </sheetPr>
  <dimension ref="A2:O28"/>
  <sheetViews>
    <sheetView workbookViewId="0">
      <selection activeCell="Q8" sqref="Q8"/>
    </sheetView>
  </sheetViews>
  <sheetFormatPr defaultRowHeight="14" x14ac:dyDescent="0.3"/>
  <sheetData>
    <row r="2" spans="1:15" ht="28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5" x14ac:dyDescent="0.3">
      <c r="A3" s="15" t="s">
        <v>35</v>
      </c>
      <c r="B3">
        <v>65.91</v>
      </c>
      <c r="C3">
        <v>0</v>
      </c>
      <c r="D3">
        <v>0</v>
      </c>
      <c r="E3">
        <v>1.6</v>
      </c>
      <c r="F3">
        <v>0.89</v>
      </c>
      <c r="G3">
        <v>3.11</v>
      </c>
      <c r="H3">
        <v>4.59</v>
      </c>
      <c r="I3">
        <v>0.44</v>
      </c>
      <c r="J3">
        <v>16.55</v>
      </c>
      <c r="K3">
        <v>3.42</v>
      </c>
      <c r="L3">
        <v>1.62</v>
      </c>
      <c r="M3">
        <v>0.3</v>
      </c>
      <c r="N3">
        <v>0</v>
      </c>
      <c r="O3">
        <v>0</v>
      </c>
    </row>
    <row r="4" spans="1:15" x14ac:dyDescent="0.3">
      <c r="A4" s="15" t="s">
        <v>36</v>
      </c>
      <c r="B4">
        <v>31.94</v>
      </c>
      <c r="C4">
        <v>0</v>
      </c>
      <c r="D4">
        <v>0</v>
      </c>
      <c r="E4">
        <v>1.89</v>
      </c>
      <c r="F4">
        <v>0</v>
      </c>
      <c r="G4">
        <v>1.59</v>
      </c>
      <c r="H4">
        <v>0</v>
      </c>
      <c r="I4">
        <v>9.4600000000000009</v>
      </c>
      <c r="J4">
        <v>30.14</v>
      </c>
      <c r="K4">
        <v>27.23</v>
      </c>
      <c r="L4">
        <v>2.46</v>
      </c>
      <c r="M4">
        <v>0.31</v>
      </c>
      <c r="N4">
        <v>0</v>
      </c>
      <c r="O4">
        <v>0</v>
      </c>
    </row>
    <row r="5" spans="1:15" x14ac:dyDescent="0.3">
      <c r="A5" s="15" t="s">
        <v>37</v>
      </c>
      <c r="B5">
        <v>31.94</v>
      </c>
      <c r="C5">
        <v>0</v>
      </c>
      <c r="D5">
        <v>0</v>
      </c>
      <c r="E5">
        <v>0.47</v>
      </c>
      <c r="F5">
        <v>0</v>
      </c>
      <c r="G5">
        <v>3.72</v>
      </c>
      <c r="H5">
        <v>1</v>
      </c>
      <c r="I5">
        <v>3.01</v>
      </c>
      <c r="J5">
        <v>30.14</v>
      </c>
      <c r="K5">
        <v>27.23</v>
      </c>
      <c r="L5">
        <v>2.46</v>
      </c>
      <c r="M5">
        <v>0.31</v>
      </c>
      <c r="N5">
        <v>1</v>
      </c>
      <c r="O5">
        <v>0</v>
      </c>
    </row>
    <row r="6" spans="1:15" x14ac:dyDescent="0.3">
      <c r="A6" s="15" t="s">
        <v>38</v>
      </c>
      <c r="B6">
        <v>73.667078781179299</v>
      </c>
      <c r="C6">
        <v>4</v>
      </c>
      <c r="D6">
        <v>0.85960526308130603</v>
      </c>
      <c r="E6">
        <v>1.87</v>
      </c>
      <c r="F6">
        <v>2.67</v>
      </c>
      <c r="G6">
        <v>2.35</v>
      </c>
      <c r="H6">
        <v>0</v>
      </c>
      <c r="I6">
        <v>1.77</v>
      </c>
      <c r="J6">
        <v>16.16</v>
      </c>
      <c r="K6">
        <v>3.55</v>
      </c>
      <c r="L6">
        <v>1.2</v>
      </c>
      <c r="M6">
        <v>0</v>
      </c>
      <c r="N6">
        <v>0</v>
      </c>
      <c r="O6">
        <v>0</v>
      </c>
    </row>
    <row r="7" spans="1:15" x14ac:dyDescent="0.3">
      <c r="A7" s="15" t="s">
        <v>39</v>
      </c>
      <c r="B7">
        <v>65.91</v>
      </c>
      <c r="C7">
        <v>0</v>
      </c>
      <c r="D7">
        <v>0</v>
      </c>
      <c r="E7">
        <v>1.6</v>
      </c>
      <c r="F7">
        <v>0.89</v>
      </c>
      <c r="G7">
        <v>3.11</v>
      </c>
      <c r="H7">
        <v>4.59</v>
      </c>
      <c r="I7">
        <v>0.44</v>
      </c>
      <c r="J7">
        <v>16.55</v>
      </c>
      <c r="K7">
        <v>3.42</v>
      </c>
      <c r="L7">
        <v>1.62</v>
      </c>
      <c r="M7">
        <v>0.3</v>
      </c>
      <c r="N7">
        <v>0</v>
      </c>
      <c r="O7">
        <v>0</v>
      </c>
    </row>
    <row r="8" spans="1:15" x14ac:dyDescent="0.3">
      <c r="A8" s="15" t="s">
        <v>42</v>
      </c>
      <c r="B8">
        <v>31.94</v>
      </c>
      <c r="C8">
        <v>1</v>
      </c>
      <c r="D8">
        <v>1.23</v>
      </c>
      <c r="E8">
        <v>0.47</v>
      </c>
      <c r="F8">
        <v>0</v>
      </c>
      <c r="G8">
        <v>3.72</v>
      </c>
      <c r="H8">
        <v>0</v>
      </c>
      <c r="I8">
        <v>3.01</v>
      </c>
      <c r="J8">
        <v>30.14</v>
      </c>
      <c r="K8">
        <v>27.23</v>
      </c>
      <c r="L8">
        <v>0.14000000000000001</v>
      </c>
      <c r="M8">
        <v>0.31</v>
      </c>
      <c r="N8">
        <v>1</v>
      </c>
      <c r="O8">
        <v>4.66</v>
      </c>
    </row>
    <row r="9" spans="1:15" x14ac:dyDescent="0.3">
      <c r="A9" s="15" t="s">
        <v>43</v>
      </c>
      <c r="B9">
        <v>60.12</v>
      </c>
      <c r="C9">
        <v>0</v>
      </c>
      <c r="D9">
        <v>0.23</v>
      </c>
      <c r="E9">
        <v>0.89</v>
      </c>
      <c r="F9">
        <v>0</v>
      </c>
      <c r="G9">
        <v>2.72</v>
      </c>
      <c r="H9">
        <v>0</v>
      </c>
      <c r="I9">
        <v>3.01</v>
      </c>
      <c r="J9">
        <v>17.239999999999998</v>
      </c>
      <c r="K9">
        <v>10.34</v>
      </c>
      <c r="L9">
        <v>1.46</v>
      </c>
      <c r="M9">
        <v>0.31</v>
      </c>
      <c r="N9">
        <v>0</v>
      </c>
      <c r="O9">
        <v>3.66</v>
      </c>
    </row>
    <row r="10" spans="1:15" x14ac:dyDescent="0.3">
      <c r="A10" s="15" t="s">
        <v>46</v>
      </c>
      <c r="B10">
        <v>69.709999999999994</v>
      </c>
      <c r="C10">
        <v>0</v>
      </c>
      <c r="D10">
        <v>0.21</v>
      </c>
      <c r="E10">
        <v>0.46</v>
      </c>
      <c r="F10">
        <v>0</v>
      </c>
      <c r="G10">
        <v>2.36</v>
      </c>
      <c r="H10">
        <v>1</v>
      </c>
      <c r="I10">
        <v>0.11</v>
      </c>
      <c r="J10">
        <v>19.760000000000002</v>
      </c>
      <c r="K10">
        <v>4.88</v>
      </c>
      <c r="L10">
        <v>0.17</v>
      </c>
      <c r="M10">
        <v>0</v>
      </c>
      <c r="N10">
        <v>0</v>
      </c>
      <c r="O10">
        <v>0</v>
      </c>
    </row>
    <row r="11" spans="1:15" x14ac:dyDescent="0.3">
      <c r="A11" s="15" t="s">
        <v>47</v>
      </c>
      <c r="B11">
        <v>70.709999999999994</v>
      </c>
      <c r="C11">
        <v>0</v>
      </c>
      <c r="D11">
        <v>0.21</v>
      </c>
      <c r="E11">
        <v>1.87</v>
      </c>
      <c r="F11">
        <v>1.61</v>
      </c>
      <c r="G11">
        <v>4.0599999999999996</v>
      </c>
      <c r="H11">
        <v>0</v>
      </c>
      <c r="I11">
        <v>0.11</v>
      </c>
      <c r="J11">
        <v>19.760000000000002</v>
      </c>
      <c r="K11">
        <v>4.88</v>
      </c>
      <c r="L11">
        <v>0.1</v>
      </c>
      <c r="M11">
        <v>1.85</v>
      </c>
      <c r="N11">
        <v>0</v>
      </c>
      <c r="O11">
        <v>0</v>
      </c>
    </row>
    <row r="12" spans="1:15" x14ac:dyDescent="0.3">
      <c r="A12" s="15" t="s">
        <v>48</v>
      </c>
      <c r="B12">
        <v>32.219196052900799</v>
      </c>
      <c r="C12">
        <v>0</v>
      </c>
      <c r="D12">
        <v>0.80224515060308199</v>
      </c>
      <c r="E12">
        <v>2.1309783503000799</v>
      </c>
      <c r="F12">
        <v>0</v>
      </c>
      <c r="G12">
        <v>1.85480024071463</v>
      </c>
      <c r="H12">
        <v>0</v>
      </c>
      <c r="I12">
        <v>7.93110819969153</v>
      </c>
      <c r="J12">
        <v>31.516436671260301</v>
      </c>
      <c r="K12">
        <v>27.23</v>
      </c>
      <c r="L12">
        <v>0.14000000000000001</v>
      </c>
      <c r="M12">
        <v>1.91</v>
      </c>
      <c r="N12">
        <v>0.45105799491078302</v>
      </c>
      <c r="O12">
        <v>1</v>
      </c>
    </row>
    <row r="13" spans="1:15" x14ac:dyDescent="0.3">
      <c r="A13" s="15" t="s">
        <v>49</v>
      </c>
      <c r="B13">
        <v>31.94</v>
      </c>
      <c r="C13">
        <v>0</v>
      </c>
      <c r="D13">
        <v>0</v>
      </c>
      <c r="E13">
        <v>0.47</v>
      </c>
      <c r="F13">
        <v>0</v>
      </c>
      <c r="G13">
        <v>1.59</v>
      </c>
      <c r="H13">
        <v>0</v>
      </c>
      <c r="I13">
        <v>8.4600000000000009</v>
      </c>
      <c r="J13">
        <v>29.14</v>
      </c>
      <c r="K13">
        <v>26.23</v>
      </c>
      <c r="L13">
        <v>0.14000000000000001</v>
      </c>
      <c r="M13">
        <v>0.91</v>
      </c>
      <c r="N13">
        <v>0</v>
      </c>
      <c r="O13">
        <v>0</v>
      </c>
    </row>
    <row r="14" spans="1:15" x14ac:dyDescent="0.3">
      <c r="A14" s="15" t="s">
        <v>50</v>
      </c>
      <c r="B14">
        <v>31.94</v>
      </c>
      <c r="C14">
        <v>1</v>
      </c>
      <c r="D14">
        <v>1</v>
      </c>
      <c r="E14">
        <v>0.38</v>
      </c>
      <c r="F14">
        <v>0</v>
      </c>
      <c r="G14">
        <v>1.44</v>
      </c>
      <c r="H14">
        <v>0</v>
      </c>
      <c r="I14">
        <v>9.4600000000000009</v>
      </c>
      <c r="J14">
        <v>36.193096616832001</v>
      </c>
      <c r="K14">
        <v>27.1555443447781</v>
      </c>
      <c r="L14">
        <v>0.14000000000000001</v>
      </c>
      <c r="M14">
        <v>1.91</v>
      </c>
      <c r="N14">
        <v>0</v>
      </c>
      <c r="O14">
        <v>0</v>
      </c>
    </row>
    <row r="15" spans="1:15" x14ac:dyDescent="0.3">
      <c r="A15" s="15" t="s">
        <v>51</v>
      </c>
      <c r="B15">
        <v>65.91</v>
      </c>
      <c r="C15">
        <v>0</v>
      </c>
      <c r="D15">
        <v>0</v>
      </c>
      <c r="E15">
        <v>1.6</v>
      </c>
      <c r="F15">
        <v>0.89</v>
      </c>
      <c r="G15">
        <v>3.11</v>
      </c>
      <c r="H15">
        <v>4.59</v>
      </c>
      <c r="I15">
        <v>0.44</v>
      </c>
      <c r="J15">
        <v>16.55</v>
      </c>
      <c r="K15">
        <v>3.42</v>
      </c>
      <c r="L15">
        <v>1.62</v>
      </c>
      <c r="M15">
        <v>0.3</v>
      </c>
      <c r="N15">
        <v>0</v>
      </c>
      <c r="O15">
        <v>0</v>
      </c>
    </row>
    <row r="16" spans="1:15" x14ac:dyDescent="0.3">
      <c r="A16" s="15" t="s">
        <v>54</v>
      </c>
      <c r="B16">
        <v>65.91</v>
      </c>
      <c r="C16">
        <v>0</v>
      </c>
      <c r="D16">
        <v>0</v>
      </c>
      <c r="E16">
        <v>1.6</v>
      </c>
      <c r="F16">
        <v>0.89</v>
      </c>
      <c r="G16">
        <v>3.11</v>
      </c>
      <c r="H16">
        <v>4.59</v>
      </c>
      <c r="I16">
        <v>0.44</v>
      </c>
      <c r="J16">
        <v>16.55</v>
      </c>
      <c r="K16">
        <v>3.42</v>
      </c>
      <c r="L16">
        <v>1.62</v>
      </c>
      <c r="M16">
        <v>0.3</v>
      </c>
      <c r="N16">
        <v>0</v>
      </c>
      <c r="O16">
        <v>0</v>
      </c>
    </row>
    <row r="17" spans="1:15" x14ac:dyDescent="0.3">
      <c r="A17" s="15" t="s">
        <v>55</v>
      </c>
      <c r="B17">
        <v>65.91</v>
      </c>
      <c r="C17">
        <v>0</v>
      </c>
      <c r="D17">
        <v>0</v>
      </c>
      <c r="E17">
        <v>1.6</v>
      </c>
      <c r="F17">
        <v>0.89</v>
      </c>
      <c r="G17">
        <v>3.11</v>
      </c>
      <c r="H17">
        <v>4.59</v>
      </c>
      <c r="I17">
        <v>0.44</v>
      </c>
      <c r="J17">
        <v>16.55</v>
      </c>
      <c r="K17">
        <v>3.42</v>
      </c>
      <c r="L17">
        <v>1.62</v>
      </c>
      <c r="M17">
        <v>0.3</v>
      </c>
      <c r="N17">
        <v>0</v>
      </c>
      <c r="O17">
        <v>0</v>
      </c>
    </row>
    <row r="18" spans="1:15" x14ac:dyDescent="0.3">
      <c r="A18" s="15" t="s">
        <v>57</v>
      </c>
      <c r="B18">
        <v>34.340000000000003</v>
      </c>
      <c r="C18">
        <v>1</v>
      </c>
      <c r="D18">
        <v>0</v>
      </c>
      <c r="E18">
        <v>4.24</v>
      </c>
      <c r="F18">
        <v>1.98</v>
      </c>
      <c r="G18">
        <v>3.86</v>
      </c>
      <c r="H18">
        <v>3.74</v>
      </c>
      <c r="I18">
        <v>0.874131681470533</v>
      </c>
      <c r="J18">
        <v>40.22</v>
      </c>
      <c r="K18">
        <v>11.35</v>
      </c>
      <c r="L18">
        <v>0</v>
      </c>
      <c r="M18">
        <v>1.48</v>
      </c>
      <c r="N18">
        <v>1.44</v>
      </c>
      <c r="O18">
        <v>0.92619257816128897</v>
      </c>
    </row>
    <row r="19" spans="1:15" x14ac:dyDescent="0.3">
      <c r="A19" s="15" t="s">
        <v>58</v>
      </c>
      <c r="B19">
        <v>65.91</v>
      </c>
      <c r="C19">
        <v>0</v>
      </c>
      <c r="D19">
        <v>0</v>
      </c>
      <c r="E19">
        <v>1.6</v>
      </c>
      <c r="F19">
        <v>0.89</v>
      </c>
      <c r="G19">
        <v>3.11</v>
      </c>
      <c r="H19">
        <v>4.59</v>
      </c>
      <c r="I19">
        <v>0.44</v>
      </c>
      <c r="J19">
        <v>16.55</v>
      </c>
      <c r="K19">
        <v>3.42</v>
      </c>
      <c r="L19">
        <v>1.62</v>
      </c>
      <c r="M19">
        <v>0.3</v>
      </c>
      <c r="N19">
        <v>0</v>
      </c>
      <c r="O19">
        <v>0</v>
      </c>
    </row>
    <row r="20" spans="1:15" x14ac:dyDescent="0.3">
      <c r="A20" s="15" t="s">
        <v>60</v>
      </c>
      <c r="B20">
        <v>65.91</v>
      </c>
      <c r="C20">
        <v>0</v>
      </c>
      <c r="D20">
        <v>0</v>
      </c>
      <c r="E20">
        <v>1.6</v>
      </c>
      <c r="F20">
        <v>0.89</v>
      </c>
      <c r="G20">
        <v>3.11</v>
      </c>
      <c r="H20">
        <v>4.59</v>
      </c>
      <c r="I20">
        <v>0.44</v>
      </c>
      <c r="J20">
        <v>16.55</v>
      </c>
      <c r="K20">
        <v>3.42</v>
      </c>
      <c r="L20">
        <v>1.62</v>
      </c>
      <c r="M20">
        <v>0.3</v>
      </c>
      <c r="N20">
        <v>0</v>
      </c>
      <c r="O20">
        <v>0</v>
      </c>
    </row>
    <row r="21" spans="1:15" x14ac:dyDescent="0.3">
      <c r="A21" s="15" t="s">
        <v>62</v>
      </c>
      <c r="B21">
        <v>36.93</v>
      </c>
      <c r="C21">
        <v>0</v>
      </c>
      <c r="D21">
        <v>1</v>
      </c>
      <c r="E21">
        <v>1.6</v>
      </c>
      <c r="F21">
        <v>0.51</v>
      </c>
      <c r="G21">
        <v>4.8600000000000003</v>
      </c>
      <c r="H21">
        <v>5.59</v>
      </c>
      <c r="I21">
        <v>0</v>
      </c>
      <c r="J21">
        <v>38.74</v>
      </c>
      <c r="K21">
        <v>3.42</v>
      </c>
      <c r="L21">
        <v>2.62</v>
      </c>
      <c r="M21">
        <v>0.3</v>
      </c>
      <c r="N21">
        <v>1.44</v>
      </c>
      <c r="O21">
        <v>1</v>
      </c>
    </row>
    <row r="22" spans="1:15" x14ac:dyDescent="0.3">
      <c r="A22" s="15" t="s">
        <v>63</v>
      </c>
      <c r="B22">
        <v>66.91</v>
      </c>
      <c r="C22">
        <v>1</v>
      </c>
      <c r="D22">
        <v>0</v>
      </c>
      <c r="E22">
        <v>2.6</v>
      </c>
      <c r="F22">
        <v>1.89</v>
      </c>
      <c r="G22">
        <v>4.1100000000000003</v>
      </c>
      <c r="H22">
        <v>0.17</v>
      </c>
      <c r="I22">
        <v>1.44</v>
      </c>
      <c r="J22">
        <v>16.55</v>
      </c>
      <c r="K22">
        <v>3.42</v>
      </c>
      <c r="L22">
        <v>0.42</v>
      </c>
      <c r="M22">
        <v>1.3</v>
      </c>
      <c r="N22">
        <v>0</v>
      </c>
      <c r="O22">
        <v>1</v>
      </c>
    </row>
    <row r="23" spans="1:15" x14ac:dyDescent="0.3">
      <c r="A23" s="15" t="s">
        <v>64</v>
      </c>
      <c r="B23">
        <v>65.91</v>
      </c>
      <c r="C23">
        <v>0</v>
      </c>
      <c r="D23">
        <v>0</v>
      </c>
      <c r="E23">
        <v>1.6</v>
      </c>
      <c r="F23">
        <v>0.89</v>
      </c>
      <c r="G23">
        <v>3.11</v>
      </c>
      <c r="H23">
        <v>4.59</v>
      </c>
      <c r="I23">
        <v>0.44</v>
      </c>
      <c r="J23">
        <v>16.55</v>
      </c>
      <c r="K23">
        <v>3.42</v>
      </c>
      <c r="L23">
        <v>1.62</v>
      </c>
      <c r="M23">
        <v>0.3</v>
      </c>
      <c r="N23">
        <v>0</v>
      </c>
      <c r="O23">
        <v>0</v>
      </c>
    </row>
    <row r="24" spans="1:15" x14ac:dyDescent="0.3">
      <c r="A24" s="15" t="s">
        <v>66</v>
      </c>
      <c r="B24">
        <v>75.648102862392093</v>
      </c>
      <c r="C24">
        <v>0</v>
      </c>
      <c r="D24">
        <v>1.29</v>
      </c>
      <c r="E24">
        <v>1.87</v>
      </c>
      <c r="F24">
        <v>0.61</v>
      </c>
      <c r="G24">
        <v>2.35</v>
      </c>
      <c r="H24">
        <v>0</v>
      </c>
      <c r="I24">
        <v>1.77</v>
      </c>
      <c r="J24">
        <v>16.16</v>
      </c>
      <c r="K24">
        <v>3.55</v>
      </c>
      <c r="L24">
        <v>0.64563636951098402</v>
      </c>
      <c r="M24">
        <v>0</v>
      </c>
      <c r="N24">
        <v>1</v>
      </c>
      <c r="O24">
        <v>1</v>
      </c>
    </row>
    <row r="25" spans="1:15" x14ac:dyDescent="0.3">
      <c r="A25" s="15" t="s">
        <v>67</v>
      </c>
      <c r="B25">
        <v>55.21</v>
      </c>
      <c r="C25">
        <v>0</v>
      </c>
      <c r="D25">
        <v>0.25</v>
      </c>
      <c r="E25">
        <v>0</v>
      </c>
      <c r="F25">
        <v>1.67</v>
      </c>
      <c r="G25">
        <v>4.79</v>
      </c>
      <c r="H25">
        <v>0</v>
      </c>
      <c r="I25">
        <v>0.77</v>
      </c>
      <c r="J25">
        <v>25.25</v>
      </c>
      <c r="K25">
        <v>10.06</v>
      </c>
      <c r="L25">
        <v>0.2</v>
      </c>
      <c r="M25">
        <v>0.43</v>
      </c>
      <c r="N25">
        <v>0</v>
      </c>
      <c r="O25">
        <v>0</v>
      </c>
    </row>
    <row r="26" spans="1:15" x14ac:dyDescent="0.3">
      <c r="A26" s="15" t="s">
        <v>68</v>
      </c>
      <c r="B26">
        <v>31.94</v>
      </c>
      <c r="C26">
        <v>0</v>
      </c>
      <c r="D26">
        <v>0</v>
      </c>
      <c r="E26">
        <v>0.38</v>
      </c>
      <c r="F26">
        <v>0</v>
      </c>
      <c r="G26">
        <v>1.44</v>
      </c>
      <c r="H26">
        <v>0</v>
      </c>
      <c r="I26">
        <v>9.4600000000000009</v>
      </c>
      <c r="J26">
        <v>22.05</v>
      </c>
      <c r="K26">
        <v>27.23</v>
      </c>
      <c r="L26">
        <v>0.14000000000000001</v>
      </c>
      <c r="M26">
        <v>0</v>
      </c>
      <c r="N26">
        <v>0</v>
      </c>
      <c r="O26">
        <v>0</v>
      </c>
    </row>
    <row r="27" spans="1:15" x14ac:dyDescent="0.3">
      <c r="A27" s="15" t="s">
        <v>69</v>
      </c>
      <c r="B27">
        <v>31.94</v>
      </c>
      <c r="C27">
        <v>3.71</v>
      </c>
      <c r="D27">
        <v>0</v>
      </c>
      <c r="E27">
        <v>0.38</v>
      </c>
      <c r="F27">
        <v>1</v>
      </c>
      <c r="G27">
        <v>1.44</v>
      </c>
      <c r="H27">
        <v>0</v>
      </c>
      <c r="I27">
        <v>9.4600000000000009</v>
      </c>
      <c r="J27">
        <v>22.05</v>
      </c>
      <c r="K27">
        <v>27.23</v>
      </c>
      <c r="L27">
        <v>0.14000000000000001</v>
      </c>
      <c r="M27">
        <v>0</v>
      </c>
      <c r="N27">
        <v>0</v>
      </c>
      <c r="O27">
        <v>0</v>
      </c>
    </row>
    <row r="28" spans="1:15" x14ac:dyDescent="0.3">
      <c r="A28" s="15" t="s">
        <v>70</v>
      </c>
      <c r="B28">
        <v>65.91</v>
      </c>
      <c r="C28">
        <v>0</v>
      </c>
      <c r="D28">
        <v>0</v>
      </c>
      <c r="E28">
        <v>1.6</v>
      </c>
      <c r="F28">
        <v>0.89</v>
      </c>
      <c r="G28">
        <v>3.11</v>
      </c>
      <c r="H28">
        <v>4.59</v>
      </c>
      <c r="I28">
        <v>0.44</v>
      </c>
      <c r="J28">
        <v>16.55</v>
      </c>
      <c r="K28">
        <v>3.42</v>
      </c>
      <c r="L28">
        <v>1.62</v>
      </c>
      <c r="M28">
        <v>0.3</v>
      </c>
      <c r="N28">
        <v>0</v>
      </c>
      <c r="O28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高钾（无风化）</vt:lpstr>
      <vt:lpstr>Sheet1</vt:lpstr>
      <vt:lpstr>高钾（风化）</vt:lpstr>
      <vt:lpstr>铅钡（无风化）</vt:lpstr>
      <vt:lpstr>铅钡（风化）</vt:lpstr>
      <vt:lpstr>钾</vt:lpstr>
      <vt:lpstr>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xinch</dc:creator>
  <cp:lastModifiedBy>xinch</cp:lastModifiedBy>
  <dcterms:created xsi:type="dcterms:W3CDTF">2022-09-16T02:09:19Z</dcterms:created>
  <dcterms:modified xsi:type="dcterms:W3CDTF">2022-09-17T09:11:15Z</dcterms:modified>
</cp:coreProperties>
</file>